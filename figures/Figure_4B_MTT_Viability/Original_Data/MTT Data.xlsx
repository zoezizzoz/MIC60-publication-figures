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cklejuice/Desktop/XinnanLab/Results/MIC60Results/FOR_PUBLICATION/Fig4B(MTT)/"/>
    </mc:Choice>
  </mc:AlternateContent>
  <xr:revisionPtr revIDLastSave="0" documentId="8_{CFD363CF-5730-414D-BD18-926FC11F02B0}" xr6:coauthVersionLast="47" xr6:coauthVersionMax="47" xr10:uidLastSave="{00000000-0000-0000-0000-000000000000}"/>
  <bookViews>
    <workbookView xWindow="100" yWindow="1220" windowWidth="29040" windowHeight="15720" activeTab="1" xr2:uid="{11FFB1CF-FBA1-4ACF-8B0D-102B36F1DFB7}"/>
  </bookViews>
  <sheets>
    <sheet name="7.28.26 raw" sheetId="2" r:id="rId1"/>
    <sheet name="7.15.26 raw" sheetId="1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" l="1"/>
  <c r="R22" i="2"/>
  <c r="R23" i="2"/>
  <c r="R24" i="2"/>
  <c r="R25" i="2"/>
  <c r="R21" i="2"/>
  <c r="Q22" i="2"/>
  <c r="Q23" i="2"/>
  <c r="Q24" i="2"/>
  <c r="Q25" i="2"/>
  <c r="Q21" i="2"/>
  <c r="T13" i="2"/>
  <c r="S13" i="2"/>
  <c r="R17" i="2"/>
  <c r="Q17" i="2"/>
  <c r="R16" i="2"/>
  <c r="Q16" i="2"/>
  <c r="R15" i="2"/>
  <c r="Q15" i="2"/>
  <c r="R14" i="2"/>
  <c r="Q14" i="2"/>
  <c r="R13" i="2"/>
  <c r="Q13" i="2"/>
  <c r="Q5" i="2"/>
  <c r="R5" i="2"/>
  <c r="S5" i="2"/>
  <c r="T5" i="2"/>
  <c r="U5" i="2"/>
  <c r="V5" i="2"/>
  <c r="W5" i="2"/>
  <c r="X5" i="2"/>
  <c r="Y5" i="2"/>
  <c r="Z5" i="2"/>
  <c r="AA5" i="2"/>
  <c r="AB5" i="2"/>
  <c r="Q6" i="2"/>
  <c r="R6" i="2"/>
  <c r="S6" i="2"/>
  <c r="T6" i="2"/>
  <c r="U6" i="2"/>
  <c r="V6" i="2"/>
  <c r="W6" i="2"/>
  <c r="X6" i="2"/>
  <c r="Y6" i="2"/>
  <c r="Z6" i="2"/>
  <c r="AA6" i="2"/>
  <c r="AB6" i="2"/>
  <c r="Q7" i="2"/>
  <c r="R7" i="2"/>
  <c r="S7" i="2"/>
  <c r="T7" i="2"/>
  <c r="U7" i="2"/>
  <c r="V7" i="2"/>
  <c r="W7" i="2"/>
  <c r="X7" i="2"/>
  <c r="Y7" i="2"/>
  <c r="Z7" i="2"/>
  <c r="AA7" i="2"/>
  <c r="AB7" i="2"/>
  <c r="Q8" i="2"/>
  <c r="R8" i="2"/>
  <c r="S8" i="2"/>
  <c r="T8" i="2"/>
  <c r="U8" i="2"/>
  <c r="V8" i="2"/>
  <c r="W8" i="2"/>
  <c r="X8" i="2"/>
  <c r="Y8" i="2"/>
  <c r="Z8" i="2"/>
  <c r="AA8" i="2"/>
  <c r="AB8" i="2"/>
  <c r="Q9" i="2"/>
  <c r="R9" i="2"/>
  <c r="S9" i="2"/>
  <c r="T9" i="2"/>
  <c r="U9" i="2"/>
  <c r="V9" i="2"/>
  <c r="W9" i="2"/>
  <c r="X9" i="2"/>
  <c r="Y9" i="2"/>
  <c r="Z9" i="2"/>
  <c r="AA9" i="2"/>
  <c r="AB9" i="2"/>
  <c r="R4" i="2"/>
  <c r="S4" i="2"/>
  <c r="T4" i="2"/>
  <c r="U4" i="2"/>
  <c r="V4" i="2"/>
  <c r="W4" i="2"/>
  <c r="X4" i="2"/>
  <c r="Y4" i="2"/>
  <c r="Z4" i="2"/>
  <c r="AA4" i="2"/>
  <c r="AB4" i="2"/>
  <c r="Q4" i="2"/>
  <c r="B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Steinberg Lab</author>
  </authors>
  <commentList>
    <comment ref="E1" authorId="0" shapeId="0" xr:uid="{7337C45C-E9EF-4923-8397-7388FEFCB70C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DC63F8E5-34F4-4D02-AC3C-EB78F9B338E8}">
      <text>
        <r>
          <rPr>
            <b/>
            <sz val="9"/>
            <color indexed="81"/>
            <rFont val="Tahoma"/>
            <family val="2"/>
          </rPr>
          <t xml:space="preserve">EHC, V_3.22_12/10_Infinite (Dec 14 2010/13.07.14)
MTP, V_3.22_12/10_Infinite (Dec 14 2010/13.07.14)
HCP, V_2.02_05/06_HCP (May 23 2006/14.05.27)
LUM, V_2.20_02/2015_LUMINESCENCE (Feb 24 2015/16.09.02)
MEM, V_2.12_03/08_MCR (Apr  3 2008/16.03.31)
MEX, V_2.13_04/10_MCR (Apr 25 2010/17.39.16)
ZSCAN, V_3.22_12/10_Infinite (Dec 14 2010/13.07.14)
</t>
        </r>
      </text>
    </comment>
  </commentList>
</comments>
</file>

<file path=xl/sharedStrings.xml><?xml version="1.0" encoding="utf-8"?>
<sst xmlns="http://schemas.openxmlformats.org/spreadsheetml/2006/main" count="101" uniqueCount="68">
  <si>
    <t>Application: Tecan i-control</t>
  </si>
  <si>
    <t>Tecan i-control , 2.0.10.0</t>
  </si>
  <si>
    <t>Device: infinite 200Pro</t>
  </si>
  <si>
    <t>Serial number: 1101005157</t>
  </si>
  <si>
    <t>Serial number of connected stacker:</t>
  </si>
  <si>
    <t>Firmware: V_3.22_12/10_Infinite (Dec 14 2010/13.07.14)</t>
  </si>
  <si>
    <t>MAI, V_3.22_12/10_Infinite (Dec 14 2010/13.07.14)</t>
  </si>
  <si>
    <t>Date:</t>
  </si>
  <si>
    <t>Time:</t>
  </si>
  <si>
    <t>2:20:15 PM</t>
  </si>
  <si>
    <t>System</t>
  </si>
  <si>
    <t>NEUROS-DQ57PZ3</t>
  </si>
  <si>
    <t>User</t>
  </si>
  <si>
    <t>NEUROS-DQ57PZ3\steinberglab</t>
  </si>
  <si>
    <t>Plate</t>
  </si>
  <si>
    <t>Corning 96 Flat Bottom Transparent Polystyrene Cat. No.: 3635 [COR96fc UV transparent.pdfx]</t>
  </si>
  <si>
    <t>Plate-ID (Stacker)</t>
  </si>
  <si>
    <t>Shaking (Orbital) Duration:</t>
  </si>
  <si>
    <t>s</t>
  </si>
  <si>
    <t>Shaking (Orbital) Amplitude:</t>
  </si>
  <si>
    <t>mm</t>
  </si>
  <si>
    <t>Label: MTT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</si>
  <si>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</si>
  <si>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</si>
  <si>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</si>
  <si>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</si>
  <si>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</si>
  <si>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</si>
  <si>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</si>
  <si>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</si>
  <si>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Part of Plate</t>
  </si>
  <si>
    <t>A1-F12; H1-H3</t>
  </si>
  <si>
    <t>Start Time:</t>
  </si>
  <si>
    <t>7/28/2026 2:20:25 PM</t>
  </si>
  <si>
    <t>Temperature: 23.2 °C</t>
  </si>
  <si>
    <t>&lt;&gt;</t>
  </si>
  <si>
    <t>A</t>
  </si>
  <si>
    <t>B</t>
  </si>
  <si>
    <t>C</t>
  </si>
  <si>
    <t>D</t>
  </si>
  <si>
    <t>E</t>
  </si>
  <si>
    <t>F</t>
  </si>
  <si>
    <t>H</t>
  </si>
  <si>
    <t>End Time:</t>
  </si>
  <si>
    <t>7/28/2026 2:21:27 PM</t>
  </si>
  <si>
    <t>Movement</t>
  </si>
  <si>
    <t>Move Plate Out</t>
  </si>
  <si>
    <t>blank</t>
  </si>
  <si>
    <t>corrected</t>
  </si>
  <si>
    <t>NT</t>
  </si>
  <si>
    <t>TOM20</t>
  </si>
  <si>
    <t>MIC60WT</t>
  </si>
  <si>
    <t>MIC60CS</t>
  </si>
  <si>
    <t>WFI</t>
  </si>
  <si>
    <t>averages</t>
  </si>
  <si>
    <t>not transfected</t>
  </si>
  <si>
    <t>tom20</t>
  </si>
  <si>
    <t>5mM</t>
  </si>
  <si>
    <t>10mM</t>
  </si>
  <si>
    <t>20mM</t>
  </si>
  <si>
    <t>40mM</t>
  </si>
  <si>
    <t>rel wfi</t>
  </si>
  <si>
    <t>DMSO</t>
  </si>
  <si>
    <t>60mM</t>
  </si>
  <si>
    <t>80mM</t>
  </si>
  <si>
    <t>7k seed</t>
  </si>
  <si>
    <t>just media</t>
  </si>
  <si>
    <t>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</si>
</sst>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0" fontId="1" fillId="9" borderId="0" xfId="0" applyFont="1" applyFill="1"/>
    <xf numFmtId="0" fontId="0" fillId="0" borderId="0" xfId="0" applyAlignment="1">
      <alignment horizontal="center"/>
    </xf>
  </cellXfs>
  <cellStyles count="8">
    <cellStyle name="Normal" xfId="0" builtinId="0"/>
    <cellStyle name="Tecan.At.Excel.Attenuation" xfId="6" xr:uid="{E3E08405-4F74-4B9D-9D75-32992BFB3402}"/>
    <cellStyle name="Tecan.At.Excel.AutoGain_0" xfId="7" xr:uid="{2963A085-C5C3-4029-B1CC-8A20123C717B}"/>
    <cellStyle name="Tecan.At.Excel.Error" xfId="1" xr:uid="{C8959615-7309-42CE-913A-00EF1D64AB14}"/>
    <cellStyle name="Tecan.At.Excel.GFactorAndMeasurementBlank" xfId="5" xr:uid="{4874C3BB-6270-4066-9238-DCA60BA7EFDF}"/>
    <cellStyle name="Tecan.At.Excel.GFactorBlank" xfId="3" xr:uid="{BCC2350A-366A-48FB-A057-42F045C08021}"/>
    <cellStyle name="Tecan.At.Excel.GFactorReference" xfId="4" xr:uid="{5CB2D079-656F-44D6-B2D8-1136562323C5}"/>
    <cellStyle name="Tecan.At.Excel.MeasurementBlank" xfId="2" xr:uid="{2E2789F5-E8E4-483A-A6D0-80BEE286A8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55D96-1641-4C55-86D4-E80156E9FACB}">
  <dimension ref="A1:AB44"/>
  <sheetViews>
    <sheetView workbookViewId="0">
      <selection activeCell="X16" sqref="X16"/>
    </sheetView>
  </sheetViews>
  <sheetFormatPr baseColWidth="10" defaultColWidth="8.83203125" defaultRowHeight="15" x14ac:dyDescent="0.2"/>
  <sheetData>
    <row r="1" spans="1:28" x14ac:dyDescent="0.2">
      <c r="A1" t="s">
        <v>0</v>
      </c>
      <c r="E1" t="s">
        <v>1</v>
      </c>
      <c r="Q1" t="s">
        <v>48</v>
      </c>
    </row>
    <row r="2" spans="1:28" x14ac:dyDescent="0.2">
      <c r="A2" t="s">
        <v>2</v>
      </c>
      <c r="E2" t="s">
        <v>3</v>
      </c>
      <c r="I2" t="s">
        <v>4</v>
      </c>
      <c r="Q2" t="s">
        <v>53</v>
      </c>
      <c r="U2">
        <v>40</v>
      </c>
      <c r="W2">
        <v>20</v>
      </c>
      <c r="Y2">
        <v>10</v>
      </c>
      <c r="AA2">
        <v>5</v>
      </c>
    </row>
    <row r="3" spans="1:28" x14ac:dyDescent="0.2">
      <c r="A3" t="s">
        <v>5</v>
      </c>
      <c r="E3" t="s">
        <v>6</v>
      </c>
      <c r="Q3" t="s">
        <v>49</v>
      </c>
      <c r="R3" t="s">
        <v>50</v>
      </c>
      <c r="S3" t="s">
        <v>51</v>
      </c>
      <c r="T3" t="s">
        <v>52</v>
      </c>
      <c r="U3" t="s">
        <v>51</v>
      </c>
      <c r="V3" t="s">
        <v>52</v>
      </c>
      <c r="W3" t="s">
        <v>51</v>
      </c>
      <c r="X3" t="s">
        <v>52</v>
      </c>
      <c r="Y3" t="s">
        <v>51</v>
      </c>
      <c r="Z3" t="s">
        <v>52</v>
      </c>
      <c r="AA3" t="s">
        <v>51</v>
      </c>
      <c r="AB3" t="s">
        <v>52</v>
      </c>
    </row>
    <row r="4" spans="1:28" x14ac:dyDescent="0.2">
      <c r="Q4">
        <f>B29-$B$37</f>
        <v>0.76040001710255944</v>
      </c>
      <c r="R4">
        <f t="shared" ref="R4:AB4" si="0">C29-$B$37</f>
        <v>0.65959997971852624</v>
      </c>
      <c r="S4">
        <f t="shared" si="0"/>
        <v>0.61299999554951989</v>
      </c>
      <c r="T4">
        <f t="shared" si="0"/>
        <v>0.54550000031789148</v>
      </c>
      <c r="U4">
        <f t="shared" si="0"/>
        <v>9.8700006802876786E-2</v>
      </c>
      <c r="V4">
        <f t="shared" si="0"/>
        <v>0.12510000665982562</v>
      </c>
      <c r="W4">
        <f t="shared" si="0"/>
        <v>0.17500000198682147</v>
      </c>
      <c r="X4">
        <f t="shared" si="0"/>
        <v>0.19739999373753864</v>
      </c>
      <c r="Y4">
        <f t="shared" si="0"/>
        <v>0.22969998915990192</v>
      </c>
      <c r="Z4">
        <f t="shared" si="0"/>
        <v>0.31460001071294147</v>
      </c>
      <c r="AA4">
        <f t="shared" si="0"/>
        <v>0.30479999383290607</v>
      </c>
      <c r="AB4">
        <f t="shared" si="0"/>
        <v>0.40749998887379962</v>
      </c>
    </row>
    <row r="5" spans="1:28" x14ac:dyDescent="0.2">
      <c r="A5" t="s">
        <v>7</v>
      </c>
      <c r="B5" s="1">
        <v>46231</v>
      </c>
      <c r="Q5">
        <f t="shared" ref="Q5:Q9" si="1">B30-$B$37</f>
        <v>0.74869998296101892</v>
      </c>
      <c r="R5">
        <f t="shared" ref="R5:R9" si="2">C30-$B$37</f>
        <v>0.68430002530415857</v>
      </c>
      <c r="S5">
        <f t="shared" ref="S5:S9" si="3">D30-$B$37</f>
        <v>0.68060000737508142</v>
      </c>
      <c r="T5">
        <f t="shared" ref="T5:T9" si="4">E30-$B$37</f>
        <v>0.56979997952779138</v>
      </c>
      <c r="U5">
        <f t="shared" ref="U5:U9" si="5">F30-$B$37</f>
        <v>0.11620000501473744</v>
      </c>
      <c r="V5">
        <f t="shared" ref="V5:V9" si="6">G30-$B$37</f>
        <v>0.1354000022013982</v>
      </c>
      <c r="W5">
        <f t="shared" ref="W5:W9" si="7">H30-$B$37</f>
        <v>0.22379999359448749</v>
      </c>
      <c r="X5">
        <f t="shared" ref="X5:X9" si="8">I30-$B$37</f>
        <v>0.25210001071294147</v>
      </c>
      <c r="Y5">
        <f t="shared" ref="Y5:Y9" si="9">J30-$B$37</f>
        <v>0.31580000122388202</v>
      </c>
      <c r="Z5">
        <f t="shared" ref="Z5:Z9" si="10">K30-$B$37</f>
        <v>0.36400001247723895</v>
      </c>
      <c r="AA5">
        <f t="shared" ref="AA5:AA9" si="11">L30-$B$37</f>
        <v>0.33279999097188312</v>
      </c>
      <c r="AB5">
        <f t="shared" ref="AB5:AB9" si="12">M30-$B$37</f>
        <v>0.38779999812444049</v>
      </c>
    </row>
    <row r="6" spans="1:28" x14ac:dyDescent="0.2">
      <c r="A6" t="s">
        <v>8</v>
      </c>
      <c r="B6" s="2" t="s">
        <v>9</v>
      </c>
      <c r="Q6">
        <f t="shared" si="1"/>
        <v>0.72639997800191247</v>
      </c>
      <c r="R6">
        <f t="shared" si="2"/>
        <v>0.65300001700719201</v>
      </c>
      <c r="S6">
        <f t="shared" si="3"/>
        <v>0.65419997771581018</v>
      </c>
      <c r="T6">
        <f t="shared" si="4"/>
        <v>0.58580001195271814</v>
      </c>
      <c r="U6">
        <f t="shared" si="5"/>
        <v>0.12369999786218007</v>
      </c>
      <c r="V6">
        <f t="shared" si="6"/>
        <v>0.1533000071843465</v>
      </c>
      <c r="W6">
        <f t="shared" si="7"/>
        <v>0.24369998772939044</v>
      </c>
      <c r="X6">
        <f t="shared" si="8"/>
        <v>0.26840000351270038</v>
      </c>
      <c r="Y6">
        <f t="shared" si="9"/>
        <v>0.30720000465710956</v>
      </c>
      <c r="Z6">
        <f t="shared" si="10"/>
        <v>0.33279999097188312</v>
      </c>
      <c r="AA6">
        <f t="shared" si="11"/>
        <v>0.3018000026543935</v>
      </c>
      <c r="AB6">
        <f t="shared" si="12"/>
        <v>0.39239998658498126</v>
      </c>
    </row>
    <row r="7" spans="1:28" x14ac:dyDescent="0.2">
      <c r="Q7">
        <f t="shared" si="1"/>
        <v>0.65719999869664514</v>
      </c>
      <c r="R7">
        <f t="shared" si="2"/>
        <v>0.62039997180302942</v>
      </c>
      <c r="S7">
        <f t="shared" si="3"/>
        <v>0.58430000146230066</v>
      </c>
      <c r="T7">
        <f t="shared" si="4"/>
        <v>0.56720002492268884</v>
      </c>
      <c r="U7">
        <f t="shared" si="5"/>
        <v>0.13130000730355579</v>
      </c>
      <c r="V7">
        <f t="shared" si="6"/>
        <v>0.15499999125798541</v>
      </c>
      <c r="W7">
        <f t="shared" si="7"/>
        <v>0.18240000804265338</v>
      </c>
      <c r="X7">
        <f t="shared" si="8"/>
        <v>0.25089999039967853</v>
      </c>
      <c r="Y7">
        <f t="shared" si="9"/>
        <v>0.28140001495679218</v>
      </c>
      <c r="Z7">
        <f t="shared" si="10"/>
        <v>0.34609999259312946</v>
      </c>
      <c r="AA7">
        <f t="shared" si="11"/>
        <v>0.23990001281102497</v>
      </c>
      <c r="AB7">
        <f t="shared" si="12"/>
        <v>0.31120001276334125</v>
      </c>
    </row>
    <row r="8" spans="1:28" x14ac:dyDescent="0.2">
      <c r="Q8">
        <f t="shared" si="1"/>
        <v>0.70819999774297082</v>
      </c>
      <c r="R8">
        <f t="shared" si="2"/>
        <v>0.62920000155766809</v>
      </c>
      <c r="S8">
        <f t="shared" si="3"/>
        <v>0.64339997371037805</v>
      </c>
      <c r="T8">
        <f t="shared" si="4"/>
        <v>0.63339998324712121</v>
      </c>
      <c r="U8">
        <f t="shared" si="5"/>
        <v>0.10990000267823537</v>
      </c>
      <c r="V8">
        <f t="shared" si="6"/>
        <v>0.14770000179608661</v>
      </c>
      <c r="W8">
        <f t="shared" si="7"/>
        <v>0.19190000494321185</v>
      </c>
      <c r="X8">
        <f t="shared" si="8"/>
        <v>0.28500001629193622</v>
      </c>
      <c r="Y8">
        <f t="shared" si="9"/>
        <v>0.29279999931653339</v>
      </c>
      <c r="Z8">
        <f t="shared" si="10"/>
        <v>0.35100000103314716</v>
      </c>
      <c r="AA8">
        <f t="shared" si="11"/>
        <v>0.31699999173482257</v>
      </c>
      <c r="AB8">
        <f t="shared" si="12"/>
        <v>0.33630000551541644</v>
      </c>
    </row>
    <row r="9" spans="1:28" x14ac:dyDescent="0.2">
      <c r="A9" t="s">
        <v>10</v>
      </c>
      <c r="E9" t="s">
        <v>11</v>
      </c>
      <c r="Q9">
        <f t="shared" si="1"/>
        <v>0.58610000212987268</v>
      </c>
      <c r="R9">
        <f t="shared" si="2"/>
        <v>0.66329999764760339</v>
      </c>
      <c r="S9">
        <f t="shared" si="3"/>
        <v>0.63210000594456994</v>
      </c>
      <c r="T9">
        <f t="shared" si="4"/>
        <v>0.58290000756581628</v>
      </c>
      <c r="U9">
        <f t="shared" si="5"/>
        <v>0.10210000475247701</v>
      </c>
      <c r="V9">
        <f t="shared" si="6"/>
        <v>0.14299999674161273</v>
      </c>
      <c r="W9">
        <f t="shared" si="7"/>
        <v>0.18519999583562213</v>
      </c>
      <c r="X9">
        <f t="shared" si="8"/>
        <v>0.25179999073346454</v>
      </c>
      <c r="Y9">
        <f t="shared" si="9"/>
        <v>0.29770000775655109</v>
      </c>
      <c r="Z9">
        <f t="shared" si="10"/>
        <v>0.36200000842412311</v>
      </c>
      <c r="AA9">
        <f t="shared" si="11"/>
        <v>0.34030001362164813</v>
      </c>
      <c r="AB9">
        <f t="shared" si="12"/>
        <v>0.32160000999768573</v>
      </c>
    </row>
    <row r="10" spans="1:28" x14ac:dyDescent="0.2">
      <c r="A10" t="s">
        <v>12</v>
      </c>
      <c r="E10" t="s">
        <v>13</v>
      </c>
    </row>
    <row r="11" spans="1:28" x14ac:dyDescent="0.2">
      <c r="A11" t="s">
        <v>14</v>
      </c>
      <c r="E11" t="s">
        <v>15</v>
      </c>
      <c r="Q11" t="s">
        <v>54</v>
      </c>
    </row>
    <row r="12" spans="1:28" x14ac:dyDescent="0.2">
      <c r="A12" t="s">
        <v>16</v>
      </c>
      <c r="Q12" t="s">
        <v>51</v>
      </c>
      <c r="R12" t="s">
        <v>52</v>
      </c>
      <c r="S12" t="s">
        <v>55</v>
      </c>
      <c r="T12" t="s">
        <v>56</v>
      </c>
    </row>
    <row r="13" spans="1:28" x14ac:dyDescent="0.2">
      <c r="P13" t="s">
        <v>53</v>
      </c>
      <c r="Q13">
        <f>AVERAGE(S4:S9)</f>
        <v>0.63459999362627673</v>
      </c>
      <c r="R13">
        <f>AVERAGE(T4:T9)</f>
        <v>0.58076666792233789</v>
      </c>
      <c r="S13">
        <f>AVERAGE(Q4:Q9)</f>
        <v>0.69783332943916321</v>
      </c>
      <c r="T13">
        <f>AVERAGE(R4:R9)</f>
        <v>0.65163333217302966</v>
      </c>
    </row>
    <row r="14" spans="1:28" x14ac:dyDescent="0.2">
      <c r="A14" s="3" t="s">
        <v>17</v>
      </c>
      <c r="B14" s="3"/>
      <c r="C14" s="3"/>
      <c r="D14" s="3"/>
      <c r="E14" s="3">
        <v>10</v>
      </c>
      <c r="F14" s="3" t="s">
        <v>18</v>
      </c>
      <c r="G14" s="3"/>
      <c r="H14" s="3"/>
      <c r="I14" s="3"/>
      <c r="J14" s="3"/>
      <c r="K14" s="3"/>
      <c r="L14" s="3"/>
      <c r="P14" t="s">
        <v>57</v>
      </c>
      <c r="Q14">
        <f>AVERAGE(AA4:AA9)</f>
        <v>0.30610000093777973</v>
      </c>
      <c r="R14">
        <f>AVERAGE(AB4:AB9)</f>
        <v>0.35946666697661084</v>
      </c>
    </row>
    <row r="15" spans="1:28" x14ac:dyDescent="0.2">
      <c r="A15" s="3" t="s">
        <v>19</v>
      </c>
      <c r="B15" s="3"/>
      <c r="C15" s="3"/>
      <c r="D15" s="3"/>
      <c r="E15" s="3">
        <v>1</v>
      </c>
      <c r="F15" s="3" t="s">
        <v>20</v>
      </c>
      <c r="G15" s="3"/>
      <c r="H15" s="3"/>
      <c r="I15" s="3"/>
      <c r="J15" s="3"/>
      <c r="K15" s="3"/>
      <c r="L15" s="3"/>
      <c r="P15" t="s">
        <v>58</v>
      </c>
      <c r="Q15">
        <f>AVERAGE(Y4:Y9)</f>
        <v>0.28743333617846167</v>
      </c>
      <c r="R15">
        <f>AVERAGE(Z4:Z9)</f>
        <v>0.34508333603541058</v>
      </c>
    </row>
    <row r="16" spans="1:28" x14ac:dyDescent="0.2">
      <c r="P16" t="s">
        <v>59</v>
      </c>
      <c r="Q16">
        <f>AVERAGE(W4:W9)</f>
        <v>0.2003333320220311</v>
      </c>
      <c r="R16">
        <f>AVERAGE(X4:X9)</f>
        <v>0.25093333423137659</v>
      </c>
    </row>
    <row r="17" spans="1:18" x14ac:dyDescent="0.2">
      <c r="P17" t="s">
        <v>60</v>
      </c>
      <c r="Q17">
        <f>AVERAGE(U4:U9)</f>
        <v>0.11365000406901042</v>
      </c>
      <c r="R17">
        <f>AVERAGE(V4:V9)</f>
        <v>0.14325000097354249</v>
      </c>
    </row>
    <row r="18" spans="1:18" x14ac:dyDescent="0.2">
      <c r="A18" t="s">
        <v>21</v>
      </c>
    </row>
    <row r="19" spans="1:18" x14ac:dyDescent="0.2">
      <c r="A19" t="s">
        <v>22</v>
      </c>
      <c r="E19" t="s">
        <v>23</v>
      </c>
      <c r="Q19" t="s">
        <v>61</v>
      </c>
    </row>
    <row r="20" spans="1:18" x14ac:dyDescent="0.2">
      <c r="A20" t="s">
        <v>24</v>
      </c>
      <c r="E20">
        <v>540</v>
      </c>
      <c r="F20" t="s">
        <v>25</v>
      </c>
      <c r="Q20" t="s">
        <v>51</v>
      </c>
      <c r="R20" t="s">
        <v>52</v>
      </c>
    </row>
    <row r="21" spans="1:18" x14ac:dyDescent="0.2">
      <c r="A21" t="s">
        <v>26</v>
      </c>
      <c r="E21">
        <v>9</v>
      </c>
      <c r="F21" t="s">
        <v>25</v>
      </c>
      <c r="P21" t="s">
        <v>53</v>
      </c>
      <c r="Q21">
        <f>Q13/$Q$13</f>
        <v>1</v>
      </c>
      <c r="R21">
        <f>R13/$R$13</f>
        <v>1</v>
      </c>
    </row>
    <row r="22" spans="1:18" x14ac:dyDescent="0.2">
      <c r="A22" t="s">
        <v>27</v>
      </c>
      <c r="E22">
        <v>25</v>
      </c>
      <c r="P22" t="s">
        <v>57</v>
      </c>
      <c r="Q22">
        <f t="shared" ref="Q22:Q25" si="13">Q14/$Q$13</f>
        <v>0.48235109362141843</v>
      </c>
      <c r="R22">
        <f t="shared" ref="R22:R25" si="14">R14/$R$13</f>
        <v>0.61895195924825352</v>
      </c>
    </row>
    <row r="23" spans="1:18" x14ac:dyDescent="0.2">
      <c r="A23" t="s">
        <v>28</v>
      </c>
      <c r="E23">
        <v>0</v>
      </c>
      <c r="F23" t="s">
        <v>29</v>
      </c>
      <c r="P23" t="s">
        <v>58</v>
      </c>
      <c r="Q23">
        <f t="shared" si="13"/>
        <v>0.45293624183005349</v>
      </c>
      <c r="R23">
        <f t="shared" si="14"/>
        <v>0.59418584966304633</v>
      </c>
    </row>
    <row r="24" spans="1:18" x14ac:dyDescent="0.2">
      <c r="A24" t="s">
        <v>30</v>
      </c>
      <c r="E24" t="s">
        <v>31</v>
      </c>
      <c r="P24" t="s">
        <v>59</v>
      </c>
      <c r="Q24">
        <f t="shared" si="13"/>
        <v>0.31568442173671013</v>
      </c>
      <c r="R24">
        <f t="shared" si="14"/>
        <v>0.43207254839379361</v>
      </c>
    </row>
    <row r="25" spans="1:18" x14ac:dyDescent="0.2">
      <c r="A25" t="s">
        <v>32</v>
      </c>
      <c r="B25" s="2" t="s">
        <v>33</v>
      </c>
      <c r="P25" t="s">
        <v>60</v>
      </c>
      <c r="Q25">
        <f t="shared" si="13"/>
        <v>0.17908919825161584</v>
      </c>
      <c r="R25">
        <f t="shared" si="14"/>
        <v>0.24665671927421698</v>
      </c>
    </row>
    <row r="27" spans="1:18" x14ac:dyDescent="0.2">
      <c r="B27" t="s">
        <v>34</v>
      </c>
    </row>
    <row r="28" spans="1:18" x14ac:dyDescent="0.2">
      <c r="A28" s="4" t="s">
        <v>35</v>
      </c>
      <c r="B28" s="4">
        <v>1</v>
      </c>
      <c r="C28" s="4">
        <v>2</v>
      </c>
      <c r="D28" s="4">
        <v>3</v>
      </c>
      <c r="E28" s="4">
        <v>4</v>
      </c>
      <c r="F28" s="4">
        <v>5</v>
      </c>
      <c r="G28" s="4">
        <v>6</v>
      </c>
      <c r="H28" s="4">
        <v>7</v>
      </c>
      <c r="I28" s="4">
        <v>8</v>
      </c>
      <c r="J28" s="4">
        <v>9</v>
      </c>
      <c r="K28" s="4">
        <v>10</v>
      </c>
      <c r="L28" s="4">
        <v>11</v>
      </c>
      <c r="M28" s="4">
        <v>12</v>
      </c>
    </row>
    <row r="29" spans="1:18" x14ac:dyDescent="0.2">
      <c r="A29" s="4" t="s">
        <v>36</v>
      </c>
      <c r="B29">
        <v>0.86360001564025879</v>
      </c>
      <c r="C29">
        <v>0.76279997825622559</v>
      </c>
      <c r="D29">
        <v>0.71619999408721924</v>
      </c>
      <c r="E29">
        <v>0.64869999885559082</v>
      </c>
      <c r="F29">
        <v>0.20190000534057617</v>
      </c>
      <c r="G29">
        <v>0.22830000519752502</v>
      </c>
      <c r="H29">
        <v>0.27820000052452087</v>
      </c>
      <c r="I29">
        <v>0.30059999227523804</v>
      </c>
      <c r="J29">
        <v>0.33289998769760132</v>
      </c>
      <c r="K29">
        <v>0.41780000925064087</v>
      </c>
      <c r="L29">
        <v>0.40799999237060547</v>
      </c>
      <c r="M29">
        <v>0.51069998741149902</v>
      </c>
    </row>
    <row r="30" spans="1:18" x14ac:dyDescent="0.2">
      <c r="A30" s="4" t="s">
        <v>37</v>
      </c>
      <c r="B30">
        <v>0.85189998149871826</v>
      </c>
      <c r="C30">
        <v>0.78750002384185791</v>
      </c>
      <c r="D30">
        <v>0.78380000591278076</v>
      </c>
      <c r="E30">
        <v>0.67299997806549072</v>
      </c>
      <c r="F30">
        <v>0.21940000355243683</v>
      </c>
      <c r="G30">
        <v>0.2386000007390976</v>
      </c>
      <c r="H30">
        <v>0.32699999213218689</v>
      </c>
      <c r="I30">
        <v>0.35530000925064087</v>
      </c>
      <c r="J30">
        <v>0.41899999976158142</v>
      </c>
      <c r="K30">
        <v>0.46720001101493835</v>
      </c>
      <c r="L30">
        <v>0.43599998950958252</v>
      </c>
      <c r="M30">
        <v>0.49099999666213989</v>
      </c>
    </row>
    <row r="31" spans="1:18" x14ac:dyDescent="0.2">
      <c r="A31" s="4" t="s">
        <v>38</v>
      </c>
      <c r="B31">
        <v>0.82959997653961182</v>
      </c>
      <c r="C31">
        <v>0.75620001554489136</v>
      </c>
      <c r="D31">
        <v>0.75739997625350952</v>
      </c>
      <c r="E31">
        <v>0.68900001049041748</v>
      </c>
      <c r="F31">
        <v>0.22689999639987946</v>
      </c>
      <c r="G31">
        <v>0.2565000057220459</v>
      </c>
      <c r="H31">
        <v>0.34689998626708984</v>
      </c>
      <c r="I31">
        <v>0.37160000205039978</v>
      </c>
      <c r="J31">
        <v>0.41040000319480896</v>
      </c>
      <c r="K31">
        <v>0.43599998950958252</v>
      </c>
      <c r="L31">
        <v>0.4050000011920929</v>
      </c>
      <c r="M31">
        <v>0.49559998512268066</v>
      </c>
    </row>
    <row r="32" spans="1:18" x14ac:dyDescent="0.2">
      <c r="A32" s="4" t="s">
        <v>39</v>
      </c>
      <c r="B32">
        <v>0.76039999723434448</v>
      </c>
      <c r="C32">
        <v>0.72359997034072876</v>
      </c>
      <c r="D32">
        <v>0.6875</v>
      </c>
      <c r="E32">
        <v>0.67040002346038818</v>
      </c>
      <c r="F32">
        <v>0.23450000584125519</v>
      </c>
      <c r="G32">
        <v>0.25819998979568481</v>
      </c>
      <c r="H32">
        <v>0.28560000658035278</v>
      </c>
      <c r="I32">
        <v>0.35409998893737793</v>
      </c>
      <c r="J32">
        <v>0.38460001349449158</v>
      </c>
      <c r="K32">
        <v>0.44929999113082886</v>
      </c>
      <c r="L32">
        <v>0.34310001134872437</v>
      </c>
      <c r="M32">
        <v>0.41440001130104065</v>
      </c>
    </row>
    <row r="33" spans="1:13" x14ac:dyDescent="0.2">
      <c r="A33" s="4" t="s">
        <v>40</v>
      </c>
      <c r="B33">
        <v>0.81139999628067017</v>
      </c>
      <c r="C33">
        <v>0.73240000009536743</v>
      </c>
      <c r="D33">
        <v>0.74659997224807739</v>
      </c>
      <c r="E33">
        <v>0.73659998178482056</v>
      </c>
      <c r="F33">
        <v>0.21310000121593475</v>
      </c>
      <c r="G33">
        <v>0.25090000033378601</v>
      </c>
      <c r="H33">
        <v>0.29510000348091125</v>
      </c>
      <c r="I33">
        <v>0.38820001482963562</v>
      </c>
      <c r="J33">
        <v>0.39599999785423279</v>
      </c>
      <c r="K33">
        <v>0.45419999957084656</v>
      </c>
      <c r="L33">
        <v>0.42019999027252197</v>
      </c>
      <c r="M33">
        <v>0.43950000405311584</v>
      </c>
    </row>
    <row r="34" spans="1:13" x14ac:dyDescent="0.2">
      <c r="A34" s="4" t="s">
        <v>41</v>
      </c>
      <c r="B34">
        <v>0.68930000066757202</v>
      </c>
      <c r="C34">
        <v>0.76649999618530273</v>
      </c>
      <c r="D34">
        <v>0.73530000448226929</v>
      </c>
      <c r="E34">
        <v>0.68610000610351562</v>
      </c>
      <c r="F34">
        <v>0.20530000329017639</v>
      </c>
      <c r="G34">
        <v>0.24619999527931213</v>
      </c>
      <c r="H34">
        <v>0.28839999437332153</v>
      </c>
      <c r="I34">
        <v>0.35499998927116394</v>
      </c>
      <c r="J34">
        <v>0.40090000629425049</v>
      </c>
      <c r="K34">
        <v>0.46520000696182251</v>
      </c>
      <c r="L34">
        <v>0.44350001215934753</v>
      </c>
      <c r="M34">
        <v>0.42480000853538513</v>
      </c>
    </row>
    <row r="35" spans="1:13" x14ac:dyDescent="0.2">
      <c r="A35" s="4" t="s">
        <v>42</v>
      </c>
      <c r="B35">
        <v>0.10610000044107437</v>
      </c>
      <c r="C35">
        <v>9.9399998784065247E-2</v>
      </c>
      <c r="D35">
        <v>0.10409999638795853</v>
      </c>
    </row>
    <row r="37" spans="1:13" x14ac:dyDescent="0.2">
      <c r="A37" s="4" t="s">
        <v>47</v>
      </c>
      <c r="B37">
        <f>AVERAGE(B35:D35)</f>
        <v>0.10319999853769939</v>
      </c>
    </row>
    <row r="40" spans="1:13" x14ac:dyDescent="0.2">
      <c r="A40" t="s">
        <v>43</v>
      </c>
      <c r="B40" s="2" t="s">
        <v>44</v>
      </c>
    </row>
    <row r="44" spans="1:13" x14ac:dyDescent="0.2">
      <c r="A44" s="3" t="s">
        <v>45</v>
      </c>
      <c r="B44" s="3"/>
      <c r="C44" s="3"/>
      <c r="D44" s="3"/>
      <c r="E44" s="3" t="s">
        <v>46</v>
      </c>
      <c r="F44" s="3"/>
      <c r="G44" s="3"/>
      <c r="H44" s="3"/>
      <c r="I44" s="3"/>
      <c r="J44" s="3"/>
      <c r="K44" s="3"/>
      <c r="L44" s="3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BDADC-69FC-4EBB-8D81-EA8B48C0FD5C}">
  <dimension ref="A1:M8"/>
  <sheetViews>
    <sheetView tabSelected="1" workbookViewId="0">
      <selection activeCell="M6" sqref="M6"/>
    </sheetView>
  </sheetViews>
  <sheetFormatPr baseColWidth="10" defaultColWidth="8.83203125" defaultRowHeight="15" x14ac:dyDescent="0.2"/>
  <sheetData>
    <row r="1" spans="1:13" x14ac:dyDescent="0.2">
      <c r="B1" s="5" t="s">
        <v>62</v>
      </c>
      <c r="C1" s="5"/>
      <c r="D1" s="5"/>
      <c r="E1" s="5"/>
      <c r="F1" s="5" t="s">
        <v>59</v>
      </c>
      <c r="G1" s="5"/>
      <c r="H1" s="5" t="s">
        <v>60</v>
      </c>
      <c r="I1" s="5"/>
      <c r="J1" s="5" t="s">
        <v>63</v>
      </c>
      <c r="K1" s="5"/>
      <c r="L1" s="5" t="s">
        <v>64</v>
      </c>
      <c r="M1" s="5"/>
    </row>
    <row r="2" spans="1:13" x14ac:dyDescent="0.2">
      <c r="B2" t="s">
        <v>49</v>
      </c>
      <c r="C2" t="s">
        <v>50</v>
      </c>
      <c r="D2" t="s">
        <v>51</v>
      </c>
      <c r="E2" t="s">
        <v>52</v>
      </c>
      <c r="F2" t="s">
        <v>51</v>
      </c>
      <c r="G2" t="s">
        <v>52</v>
      </c>
      <c r="H2" t="s">
        <v>51</v>
      </c>
      <c r="I2" t="s">
        <v>52</v>
      </c>
      <c r="J2" t="s">
        <v>51</v>
      </c>
      <c r="K2" t="s">
        <v>52</v>
      </c>
      <c r="L2" t="s">
        <v>51</v>
      </c>
      <c r="M2" t="s">
        <v>52</v>
      </c>
    </row>
    <row r="3" spans="1:13" x14ac:dyDescent="0.2">
      <c r="A3" s="5" t="s">
        <v>65</v>
      </c>
      <c r="B3">
        <v>0.71749997138977051</v>
      </c>
      <c r="C3">
        <v>0.68769997358322144</v>
      </c>
      <c r="D3">
        <v>0.68459999561309814</v>
      </c>
      <c r="E3">
        <v>0.40860000252723694</v>
      </c>
      <c r="F3">
        <v>0.25299999117851257</v>
      </c>
      <c r="G3">
        <v>0.25360000133514404</v>
      </c>
      <c r="H3">
        <v>0.15950000286102295</v>
      </c>
      <c r="I3">
        <v>0.17739999294281006</v>
      </c>
      <c r="J3">
        <v>0.16740000247955322</v>
      </c>
      <c r="K3">
        <v>0.17110000550746918</v>
      </c>
      <c r="L3">
        <v>0.14970000088214874</v>
      </c>
      <c r="M3">
        <v>0.19789999723434448</v>
      </c>
    </row>
    <row r="4" spans="1:13" x14ac:dyDescent="0.2">
      <c r="A4" s="5"/>
      <c r="B4">
        <v>0.60939997434616089</v>
      </c>
      <c r="C4">
        <v>0.69830000400543213</v>
      </c>
      <c r="D4">
        <v>0.67809998989105225</v>
      </c>
      <c r="E4">
        <v>0.56840002536773682</v>
      </c>
      <c r="F4">
        <v>0.25299999117851257</v>
      </c>
      <c r="G4">
        <v>0.30019998550415039</v>
      </c>
      <c r="H4">
        <v>0.17059999704360962</v>
      </c>
      <c r="I4">
        <v>0.17470000684261322</v>
      </c>
      <c r="J4">
        <v>0.17739999294281006</v>
      </c>
      <c r="K4">
        <v>0.17219999432563782</v>
      </c>
      <c r="L4">
        <v>0.16709999740123749</v>
      </c>
      <c r="M4">
        <v>0.15639999508857727</v>
      </c>
    </row>
    <row r="5" spans="1:13" x14ac:dyDescent="0.2">
      <c r="A5" s="5"/>
      <c r="B5">
        <v>0.59249997138977051</v>
      </c>
      <c r="C5">
        <v>0.3174000084400177</v>
      </c>
      <c r="D5">
        <v>0.70490002632141113</v>
      </c>
      <c r="E5">
        <v>0.50489997863769531</v>
      </c>
      <c r="F5">
        <v>0.27959999442100525</v>
      </c>
      <c r="G5">
        <v>0.28999999165534973</v>
      </c>
      <c r="H5">
        <v>0.17800000309944153</v>
      </c>
      <c r="I5">
        <v>0.1624000072479248</v>
      </c>
      <c r="J5">
        <v>0.18780000507831573</v>
      </c>
      <c r="K5">
        <v>0.18119999766349792</v>
      </c>
      <c r="L5">
        <v>0.15469999611377716</v>
      </c>
      <c r="M5">
        <v>0.16150000691413879</v>
      </c>
    </row>
    <row r="6" spans="1:13" x14ac:dyDescent="0.2">
      <c r="B6" t="s">
        <v>66</v>
      </c>
      <c r="C6">
        <v>0.1088000014424324</v>
      </c>
      <c r="D6">
        <v>0.13410000503063202</v>
      </c>
    </row>
    <row r="8" spans="1:13" x14ac:dyDescent="0.2">
      <c r="B8" t="s">
        <v>67</v>
      </c>
      <c r="C8">
        <f>AVERAGE(C6:D6)</f>
        <v>0.12145000323653221</v>
      </c>
    </row>
  </sheetData>
  <mergeCells count="6">
    <mergeCell ref="B1:E1"/>
    <mergeCell ref="F1:G1"/>
    <mergeCell ref="H1:I1"/>
    <mergeCell ref="J1:K1"/>
    <mergeCell ref="L1:M1"/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7.28.26 raw</vt:lpstr>
      <vt:lpstr>7.15.26 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Steinberg Lab</dc:creator>
  <cp:lastModifiedBy>Zizzo, Zoe (Student)</cp:lastModifiedBy>
  <dcterms:created xsi:type="dcterms:W3CDTF">2026-07-28T21:20:13Z</dcterms:created>
  <dcterms:modified xsi:type="dcterms:W3CDTF">2026-07-31T05:48:47Z</dcterms:modified>
</cp:coreProperties>
</file>