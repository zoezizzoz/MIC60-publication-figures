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jal/Desktop/Wang Lab/excel/"/>
    </mc:Choice>
  </mc:AlternateContent>
  <xr:revisionPtr revIDLastSave="0" documentId="13_ncr:1_{347FD661-73C5-9949-99C3-7F9490A3AAA0}" xr6:coauthVersionLast="47" xr6:coauthVersionMax="47" xr10:uidLastSave="{00000000-0000-0000-0000-000000000000}"/>
  <bookViews>
    <workbookView xWindow="1100" yWindow="780" windowWidth="29080" windowHeight="17380" activeTab="1" xr2:uid="{EF9B10DC-A6F9-D04E-8344-91AA0EABB27F}"/>
  </bookViews>
  <sheets>
    <sheet name="63X 20mM" sheetId="1" r:id="rId1"/>
    <sheet name="20X 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68" i="2" l="1"/>
  <c r="G167" i="2"/>
  <c r="L26" i="2" s="1"/>
  <c r="G166" i="2"/>
  <c r="G165" i="2"/>
  <c r="L25" i="2" s="1"/>
  <c r="G164" i="2"/>
  <c r="G163" i="2"/>
  <c r="L24" i="2" s="1"/>
  <c r="G162" i="2"/>
  <c r="G161" i="2"/>
  <c r="L23" i="2" s="1"/>
  <c r="G160" i="2"/>
  <c r="G159" i="2"/>
  <c r="L22" i="2" s="1"/>
  <c r="G158" i="2"/>
  <c r="G157" i="2"/>
  <c r="L21" i="2" s="1"/>
  <c r="G156" i="2"/>
  <c r="G155" i="2"/>
  <c r="L20" i="2" s="1"/>
  <c r="G154" i="2"/>
  <c r="G153" i="2"/>
  <c r="L19" i="2" s="1"/>
  <c r="G152" i="2"/>
  <c r="G151" i="2"/>
  <c r="L18" i="2" s="1"/>
  <c r="G150" i="2"/>
  <c r="G149" i="2"/>
  <c r="L17" i="2" s="1"/>
  <c r="G148" i="2"/>
  <c r="G147" i="2"/>
  <c r="L16" i="2" s="1"/>
  <c r="G146" i="2"/>
  <c r="G145" i="2"/>
  <c r="L15" i="2" s="1"/>
  <c r="G144" i="2"/>
  <c r="G143" i="2"/>
  <c r="L14" i="2" s="1"/>
  <c r="G142" i="2"/>
  <c r="G141" i="2"/>
  <c r="L13" i="2" s="1"/>
  <c r="G140" i="2"/>
  <c r="G139" i="2"/>
  <c r="L12" i="2" s="1"/>
  <c r="G138" i="2"/>
  <c r="G137" i="2"/>
  <c r="L11" i="2" s="1"/>
  <c r="G136" i="2"/>
  <c r="G135" i="2"/>
  <c r="L10" i="2" s="1"/>
  <c r="G134" i="2"/>
  <c r="G133" i="2"/>
  <c r="L9" i="2" s="1"/>
  <c r="G132" i="2"/>
  <c r="G131" i="2"/>
  <c r="L8" i="2" s="1"/>
  <c r="G130" i="2"/>
  <c r="G129" i="2"/>
  <c r="L7" i="2" s="1"/>
  <c r="G128" i="2"/>
  <c r="G127" i="2"/>
  <c r="L6" i="2" s="1"/>
  <c r="G126" i="2"/>
  <c r="G125" i="2"/>
  <c r="L5" i="2" s="1"/>
  <c r="P6" i="2" s="1"/>
  <c r="G124" i="2"/>
  <c r="G123" i="2"/>
  <c r="J38" i="2" s="1"/>
  <c r="G122" i="2"/>
  <c r="G121" i="2"/>
  <c r="J37" i="2" s="1"/>
  <c r="G120" i="2"/>
  <c r="G119" i="2"/>
  <c r="J36" i="2" s="1"/>
  <c r="G118" i="2"/>
  <c r="G117" i="2"/>
  <c r="J35" i="2" s="1"/>
  <c r="G116" i="2"/>
  <c r="G115" i="2"/>
  <c r="J34" i="2" s="1"/>
  <c r="G114" i="2"/>
  <c r="G113" i="2"/>
  <c r="J33" i="2" s="1"/>
  <c r="G112" i="2"/>
  <c r="G111" i="2"/>
  <c r="J32" i="2" s="1"/>
  <c r="G110" i="2"/>
  <c r="G109" i="2"/>
  <c r="J31" i="2" s="1"/>
  <c r="G108" i="2"/>
  <c r="G107" i="2"/>
  <c r="J30" i="2" s="1"/>
  <c r="G106" i="2"/>
  <c r="G105" i="2"/>
  <c r="J29" i="2" s="1"/>
  <c r="G104" i="2"/>
  <c r="G103" i="2"/>
  <c r="J28" i="2" s="1"/>
  <c r="G102" i="2"/>
  <c r="G101" i="2"/>
  <c r="J27" i="2" s="1"/>
  <c r="G100" i="2"/>
  <c r="G99" i="2"/>
  <c r="J26" i="2" s="1"/>
  <c r="G98" i="2"/>
  <c r="G97" i="2"/>
  <c r="J25" i="2" s="1"/>
  <c r="G96" i="2"/>
  <c r="G95" i="2"/>
  <c r="J24" i="2" s="1"/>
  <c r="G94" i="2"/>
  <c r="G93" i="2"/>
  <c r="J23" i="2" s="1"/>
  <c r="G92" i="2"/>
  <c r="L59" i="2" s="1"/>
  <c r="G91" i="2"/>
  <c r="J22" i="2" s="1"/>
  <c r="G90" i="2"/>
  <c r="G89" i="2"/>
  <c r="J21" i="2" s="1"/>
  <c r="G88" i="2"/>
  <c r="G87" i="2"/>
  <c r="J20" i="2" s="1"/>
  <c r="G86" i="2"/>
  <c r="G85" i="2"/>
  <c r="J19" i="2" s="1"/>
  <c r="G84" i="2"/>
  <c r="G83" i="2"/>
  <c r="J18" i="2" s="1"/>
  <c r="G82" i="2"/>
  <c r="G81" i="2"/>
  <c r="J17" i="2" s="1"/>
  <c r="G79" i="2"/>
  <c r="L46" i="2" s="1"/>
  <c r="G78" i="2"/>
  <c r="G77" i="2"/>
  <c r="L45" i="2" s="1"/>
  <c r="G76" i="2"/>
  <c r="G75" i="2"/>
  <c r="L44" i="2" s="1"/>
  <c r="G74" i="2"/>
  <c r="G73" i="2"/>
  <c r="L43" i="2" s="1"/>
  <c r="G72" i="2"/>
  <c r="G71" i="2"/>
  <c r="L42" i="2" s="1"/>
  <c r="G70" i="2"/>
  <c r="G69" i="2"/>
  <c r="L41" i="2" s="1"/>
  <c r="G68" i="2"/>
  <c r="G67" i="2"/>
  <c r="L40" i="2" s="1"/>
  <c r="G66" i="2"/>
  <c r="G65" i="2"/>
  <c r="L39" i="2" s="1"/>
  <c r="G64" i="2"/>
  <c r="G63" i="2"/>
  <c r="L38" i="2" s="1"/>
  <c r="G62" i="2"/>
  <c r="G61" i="2"/>
  <c r="L37" i="2" s="1"/>
  <c r="G60" i="2"/>
  <c r="G59" i="2"/>
  <c r="L36" i="2" s="1"/>
  <c r="G58" i="2"/>
  <c r="G57" i="2"/>
  <c r="L35" i="2" s="1"/>
  <c r="G56" i="2"/>
  <c r="G55" i="2"/>
  <c r="L34" i="2" s="1"/>
  <c r="G54" i="2"/>
  <c r="G53" i="2"/>
  <c r="L33" i="2" s="1"/>
  <c r="G52" i="2"/>
  <c r="G51" i="2"/>
  <c r="L32" i="2" s="1"/>
  <c r="G50" i="2"/>
  <c r="G49" i="2"/>
  <c r="L31" i="2" s="1"/>
  <c r="G48" i="2"/>
  <c r="G47" i="2"/>
  <c r="L30" i="2" s="1"/>
  <c r="G46" i="2"/>
  <c r="G45" i="2"/>
  <c r="L29" i="2" s="1"/>
  <c r="G44" i="2"/>
  <c r="G43" i="2"/>
  <c r="L28" i="2" s="1"/>
  <c r="G42" i="2"/>
  <c r="G41" i="2"/>
  <c r="L27" i="2" s="1"/>
  <c r="G40" i="2"/>
  <c r="G39" i="2"/>
  <c r="J45" i="2" s="1"/>
  <c r="G38" i="2"/>
  <c r="G37" i="2"/>
  <c r="J44" i="2" s="1"/>
  <c r="G36" i="2"/>
  <c r="G35" i="2"/>
  <c r="J43" i="2" s="1"/>
  <c r="G34" i="2"/>
  <c r="G33" i="2"/>
  <c r="J42" i="2" s="1"/>
  <c r="G32" i="2"/>
  <c r="G31" i="2"/>
  <c r="J41" i="2" s="1"/>
  <c r="G30" i="2"/>
  <c r="G29" i="2"/>
  <c r="J40" i="2" s="1"/>
  <c r="G28" i="2"/>
  <c r="G27" i="2"/>
  <c r="J39" i="2" s="1"/>
  <c r="G26" i="2"/>
  <c r="G25" i="2"/>
  <c r="J16" i="2" s="1"/>
  <c r="G24" i="2"/>
  <c r="G23" i="2"/>
  <c r="J15" i="2" s="1"/>
  <c r="G22" i="2"/>
  <c r="G21" i="2"/>
  <c r="J14" i="2" s="1"/>
  <c r="G20" i="2"/>
  <c r="G19" i="2"/>
  <c r="J13" i="2" s="1"/>
  <c r="G18" i="2"/>
  <c r="G17" i="2"/>
  <c r="J12" i="2" s="1"/>
  <c r="G16" i="2"/>
  <c r="G15" i="2"/>
  <c r="J11" i="2" s="1"/>
  <c r="G14" i="2"/>
  <c r="G13" i="2"/>
  <c r="J10" i="2" s="1"/>
  <c r="G12" i="2"/>
  <c r="G11" i="2"/>
  <c r="J9" i="2" s="1"/>
  <c r="G10" i="2"/>
  <c r="G9" i="2"/>
  <c r="J8" i="2" s="1"/>
  <c r="G8" i="2"/>
  <c r="G7" i="2"/>
  <c r="J7" i="2" s="1"/>
  <c r="G6" i="2"/>
  <c r="G5" i="2"/>
  <c r="J6" i="2" s="1"/>
  <c r="G4" i="2"/>
  <c r="G3" i="2"/>
  <c r="J5" i="2" s="1"/>
  <c r="P5" i="2" s="1"/>
  <c r="P70" i="1"/>
  <c r="P57" i="1"/>
  <c r="O26" i="1"/>
  <c r="O70" i="1"/>
  <c r="O57" i="1"/>
  <c r="P40" i="1"/>
  <c r="P26" i="1"/>
  <c r="O40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T5" i="1"/>
  <c r="T4" i="1"/>
  <c r="S5" i="1"/>
  <c r="S4" i="1"/>
  <c r="P12" i="1"/>
  <c r="P5" i="1"/>
  <c r="N11" i="1"/>
  <c r="N7" i="1"/>
  <c r="O12" i="1"/>
  <c r="O5" i="1"/>
  <c r="N17" i="1"/>
  <c r="N16" i="1"/>
  <c r="N15" i="1"/>
  <c r="N13" i="1"/>
  <c r="N12" i="1"/>
  <c r="N14" i="1"/>
  <c r="N10" i="1"/>
  <c r="N9" i="1"/>
  <c r="N8" i="1"/>
  <c r="I49" i="1"/>
  <c r="I47" i="1"/>
  <c r="I45" i="1"/>
  <c r="I43" i="1"/>
  <c r="I39" i="1"/>
  <c r="I33" i="1"/>
  <c r="I31" i="1"/>
  <c r="I27" i="1"/>
  <c r="N6" i="1"/>
  <c r="N5" i="1"/>
  <c r="J9" i="1"/>
  <c r="J4" i="1"/>
  <c r="I21" i="1"/>
  <c r="J21" i="1" s="1"/>
  <c r="I22" i="1"/>
  <c r="I23" i="1"/>
  <c r="I17" i="1"/>
  <c r="I18" i="1"/>
  <c r="J17" i="1" s="1"/>
  <c r="I19" i="1"/>
  <c r="I13" i="1"/>
  <c r="J13" i="1" s="1"/>
  <c r="I14" i="1"/>
  <c r="I15" i="1"/>
  <c r="I9" i="1"/>
  <c r="I10" i="1"/>
  <c r="I11" i="1"/>
  <c r="I4" i="1"/>
  <c r="I5" i="1"/>
  <c r="I6" i="1"/>
  <c r="I7" i="1"/>
  <c r="O5" i="2" l="1"/>
  <c r="O6" i="2"/>
</calcChain>
</file>

<file path=xl/sharedStrings.xml><?xml version="1.0" encoding="utf-8"?>
<sst xmlns="http://schemas.openxmlformats.org/spreadsheetml/2006/main" count="307" uniqueCount="60">
  <si>
    <t>area</t>
  </si>
  <si>
    <t>mean</t>
  </si>
  <si>
    <t>max</t>
  </si>
  <si>
    <t>intden</t>
  </si>
  <si>
    <t>rawintden</t>
  </si>
  <si>
    <t>min</t>
  </si>
  <si>
    <t>blank</t>
  </si>
  <si>
    <t>cell</t>
  </si>
  <si>
    <t>image/condition</t>
  </si>
  <si>
    <t>S042</t>
  </si>
  <si>
    <t>CS 20mM</t>
  </si>
  <si>
    <t>S098</t>
  </si>
  <si>
    <t>S069</t>
  </si>
  <si>
    <t>WT 20mM</t>
  </si>
  <si>
    <t>S074</t>
  </si>
  <si>
    <t>S081</t>
  </si>
  <si>
    <t>CTCF = Integrated Density – (Area of selected cell X Mean fluorescence of background readings)</t>
  </si>
  <si>
    <t>CTCF</t>
  </si>
  <si>
    <t>average</t>
  </si>
  <si>
    <t>CTCF (corrected total cell fluorescence)</t>
  </si>
  <si>
    <t>CS</t>
  </si>
  <si>
    <t>WT</t>
  </si>
  <si>
    <t>Lukas's quant</t>
  </si>
  <si>
    <t>Image</t>
  </si>
  <si>
    <t>Label</t>
  </si>
  <si>
    <t>Area</t>
  </si>
  <si>
    <t>Mean</t>
  </si>
  <si>
    <t>IntDen</t>
  </si>
  <si>
    <t>RawIntDen</t>
  </si>
  <si>
    <t>S021</t>
  </si>
  <si>
    <t>S026</t>
  </si>
  <si>
    <t>S031</t>
  </si>
  <si>
    <t>S037</t>
  </si>
  <si>
    <t>S055</t>
  </si>
  <si>
    <t>S062</t>
  </si>
  <si>
    <t>S064</t>
  </si>
  <si>
    <t>S085</t>
  </si>
  <si>
    <t>condition</t>
  </si>
  <si>
    <t>ok here's a nice table</t>
  </si>
  <si>
    <t>image</t>
  </si>
  <si>
    <t>averages</t>
  </si>
  <si>
    <t>total avg</t>
  </si>
  <si>
    <t>avg ctcf per image</t>
  </si>
  <si>
    <t>im not really convinced that there is a difference...</t>
  </si>
  <si>
    <t>stdev</t>
  </si>
  <si>
    <t>avg timeless signal</t>
  </si>
  <si>
    <t xml:space="preserve">S029 </t>
  </si>
  <si>
    <t>S044</t>
  </si>
  <si>
    <t>S049</t>
  </si>
  <si>
    <t>S065</t>
  </si>
  <si>
    <t>S068</t>
  </si>
  <si>
    <t>S072</t>
  </si>
  <si>
    <t>S034</t>
  </si>
  <si>
    <t>S039</t>
  </si>
  <si>
    <t>S058</t>
  </si>
  <si>
    <t>S061</t>
  </si>
  <si>
    <t>combined</t>
  </si>
  <si>
    <t>S029</t>
  </si>
  <si>
    <t>avg ctcf</t>
  </si>
  <si>
    <t>**** IMPORTANT THESE CANNOT BE COMPARED TO THE 63X IMAGES!!! I raised laser power in between taking 20X and 63X images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</si>
</sst>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11" fontId="1" fillId="0" borderId="0" xfId="0" applyNumberFormat="1" applyFont="1"/>
    <xf numFmtId="49" fontId="0" fillId="0" borderId="0" xfId="0" applyNumberFormat="1"/>
    <xf numFmtId="2" fontId="0" fillId="0" borderId="0" xfId="0" applyNumberFormat="1"/>
    <xf numFmtId="2" fontId="1" fillId="0" borderId="0" xfId="0" applyNumberFormat="1" applyFont="1" applyAlignment="1">
      <alignment horizontal="right"/>
    </xf>
    <xf numFmtId="2" fontId="1" fillId="0" borderId="0" xfId="0" applyNumberFormat="1" applyFont="1"/>
    <xf numFmtId="0" fontId="1" fillId="0" borderId="0" xfId="0" applyFont="1" applyAlignment="1">
      <alignment horizontal="right"/>
    </xf>
    <xf numFmtId="11" fontId="0" fillId="0" borderId="0" xfId="0" applyNumberFormat="1"/>
    <xf numFmtId="11" fontId="0" fillId="2" borderId="0" xfId="0" applyNumberFormat="1" applyFill="1"/>
    <xf numFmtId="0" fontId="3" fillId="0" borderId="0" xfId="0" applyFont="1"/>
    <xf numFmtId="0" fontId="4" fillId="0" borderId="0" xfId="0" applyFont="1"/>
    <xf numFmtId="49" fontId="3" fillId="0" borderId="0" xfId="0" applyNumberFormat="1" applyFont="1" applyAlignment="1">
      <alignment horizontal="right"/>
    </xf>
    <xf numFmtId="11" fontId="3" fillId="0" borderId="0" xfId="0" applyNumberFormat="1" applyFont="1"/>
    <xf numFmtId="0" fontId="0" fillId="2" borderId="0" xfId="0" applyFill="1"/>
    <xf numFmtId="49" fontId="0" fillId="2" borderId="0" xfId="0" applyNumberFormat="1" applyFill="1"/>
    <xf numFmtId="0" fontId="3" fillId="2" borderId="0" xfId="0" applyFont="1" applyFill="1"/>
    <xf numFmtId="49" fontId="3" fillId="2" borderId="0" xfId="0" applyNumberFormat="1" applyFont="1" applyFill="1" applyAlignment="1">
      <alignment horizontal="right"/>
    </xf>
    <xf numFmtId="0" fontId="4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'63X 20mM'!$S$3</c:f>
              <c:strCache>
                <c:ptCount val="1"/>
                <c:pt idx="0">
                  <c:v>avg timeless signal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'63X 20mM'!$T$4:$T$5</c:f>
                <c:numCache>
                  <c:formatCode>General</c:formatCode>
                  <c:ptCount val="2"/>
                  <c:pt idx="0">
                    <c:v>108629.74428935369</c:v>
                  </c:pt>
                  <c:pt idx="1">
                    <c:v>74598.400530580897</c:v>
                  </c:pt>
                </c:numCache>
              </c:numRef>
            </c:plus>
            <c:minus>
              <c:numRef>
                <c:f>'63X 20mM'!$T$4:$T$5</c:f>
                <c:numCache>
                  <c:formatCode>General</c:formatCode>
                  <c:ptCount val="2"/>
                  <c:pt idx="0">
                    <c:v>108629.74428935369</c:v>
                  </c:pt>
                  <c:pt idx="1">
                    <c:v>74598.400530580897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'63X 20mM'!$R$4:$R$5</c:f>
              <c:strCache>
                <c:ptCount val="2"/>
                <c:pt idx="0">
                  <c:v>WT</c:v>
                </c:pt>
                <c:pt idx="1">
                  <c:v>CS</c:v>
                </c:pt>
              </c:strCache>
            </c:strRef>
          </c:cat>
          <c:val>
            <c:numRef>
              <c:f>'63X 20mM'!$S$4:$S$5</c:f>
              <c:numCache>
                <c:formatCode>0.00</c:formatCode>
                <c:ptCount val="2"/>
                <c:pt idx="0" formatCode="General">
                  <c:v>320264.2072843333</c:v>
                </c:pt>
                <c:pt idx="1">
                  <c:v>234429.39760052782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3A-4342-87FD-E32C877CE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5371024"/>
        <c:axId val="625333248"/>
      </c:barChart>
      <c:catAx>
        <c:axId val="62537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333248"/>
        <c:crosses val="autoZero"/>
        <c:auto val="1"/>
        <c:lblAlgn val="ctr"/>
        <c:lblOffset val="100"/>
        <c:noMultiLvlLbl val="0"/>
      </c:catAx>
      <c:valAx>
        <c:axId val="62533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371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'20X NT'!$O$4</c:f>
              <c:strCache>
                <c:ptCount val="1"/>
                <c:pt idx="0">
                  <c:v>avg ctcf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4CD-B54D-AFC3-855A81432A6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4CD-B54D-AFC3-855A81432A63}"/>
              </c:ext>
            </c:extLst>
          </c:dPt>
          <c:errBars>
            <c:errBarType val="both"/>
            <c:errValType val="cust"/>
            <c:noEndCap val="0"/>
            <c:plus>
              <c:numRef>
                <c:f>'20X NT'!$P$5:$P$6</c:f>
                <c:numCache>
                  <c:formatCode>General</c:formatCode>
                  <c:ptCount val="2"/>
                  <c:pt idx="0">
                    <c:v>5048.0068153308475</c:v>
                  </c:pt>
                  <c:pt idx="1">
                    <c:v>4056.5488403034574</c:v>
                  </c:pt>
                </c:numCache>
              </c:numRef>
            </c:plus>
            <c:minus>
              <c:numRef>
                <c:f>'20X NT'!$P$5:$P$6</c:f>
                <c:numCache>
                  <c:formatCode>General</c:formatCode>
                  <c:ptCount val="2"/>
                  <c:pt idx="0">
                    <c:v>5048.0068153308475</c:v>
                  </c:pt>
                  <c:pt idx="1">
                    <c:v>4056.5488403034574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'20X NT'!$N$5:$N$6</c:f>
              <c:strCache>
                <c:ptCount val="2"/>
                <c:pt idx="0">
                  <c:v>WT</c:v>
                </c:pt>
                <c:pt idx="1">
                  <c:v>CS</c:v>
                </c:pt>
              </c:strCache>
            </c:strRef>
          </c:cat>
          <c:val>
            <c:numRef>
              <c:f>'20X NT'!$O$5:$O$6</c:f>
              <c:numCache>
                <c:formatCode>@</c:formatCode>
                <c:ptCount val="2"/>
                <c:pt idx="0">
                  <c:v>8861.2299724146324</c:v>
                </c:pt>
                <c:pt idx="1">
                  <c:v>5343.1084600000013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CD-B54D-AFC3-855A81432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9478880"/>
        <c:axId val="2139689136"/>
      </c:barChart>
      <c:catAx>
        <c:axId val="213947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689136"/>
        <c:crosses val="autoZero"/>
        <c:auto val="1"/>
        <c:lblAlgn val="ctr"/>
        <c:lblOffset val="100"/>
        <c:noMultiLvlLbl val="0"/>
      </c:catAx>
      <c:valAx>
        <c:axId val="213968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47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450850</xdr:colOff>
      <xdr:row>11</xdr:row>
      <xdr:rowOff>133350</xdr:rowOff>
    </xdr:from>
    <xdr:to>
      <xdr:col>22</xdr:col>
      <xdr:colOff>69850</xdr:colOff>
      <xdr:row>25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0CAB7E-583C-0DB9-CCBE-CC2DEA19BF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222250</xdr:colOff>
      <xdr:row>12</xdr:row>
      <xdr:rowOff>69850</xdr:rowOff>
    </xdr:from>
    <xdr:to>
      <xdr:col>18</xdr:col>
      <xdr:colOff>666750</xdr:colOff>
      <xdr:row>25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A3916B-68FA-CA5C-6B7E-DA1F3634D3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203A8-193E-A144-A704-C525920645BF}">
  <dimension ref="A1:T84"/>
  <sheetViews>
    <sheetView topLeftCell="K1" workbookViewId="0">
      <selection activeCell="P23" sqref="P23"/>
    </sheetView>
  </sheetViews>
  <sheetFormatPr baseColWidth="10" defaultRowHeight="16" x14ac:dyDescent="0.2"/>
  <cols>
    <col min="5" max="5" width="10.83203125" customWidth="1"/>
    <col min="14" max="14" width="16.5" customWidth="1"/>
  </cols>
  <sheetData>
    <row r="1" spans="1:20" x14ac:dyDescent="0.2">
      <c r="H1" t="s">
        <v>16</v>
      </c>
    </row>
    <row r="2" spans="1:20" x14ac:dyDescent="0.2">
      <c r="A2" t="s">
        <v>8</v>
      </c>
      <c r="B2" t="s">
        <v>7</v>
      </c>
      <c r="C2" t="s">
        <v>0</v>
      </c>
      <c r="D2" t="s">
        <v>1</v>
      </c>
      <c r="E2" t="s">
        <v>5</v>
      </c>
      <c r="F2" t="s">
        <v>2</v>
      </c>
      <c r="G2" t="s">
        <v>3</v>
      </c>
      <c r="H2" t="s">
        <v>4</v>
      </c>
      <c r="I2" t="s">
        <v>19</v>
      </c>
      <c r="J2" t="s">
        <v>18</v>
      </c>
    </row>
    <row r="3" spans="1:20" x14ac:dyDescent="0.2">
      <c r="A3" t="s">
        <v>9</v>
      </c>
      <c r="B3" t="s">
        <v>6</v>
      </c>
      <c r="C3">
        <v>10117.062</v>
      </c>
      <c r="D3">
        <v>2E-3</v>
      </c>
      <c r="E3">
        <v>0</v>
      </c>
      <c r="F3">
        <v>1</v>
      </c>
      <c r="G3">
        <v>16.443999999999999</v>
      </c>
      <c r="H3">
        <v>8</v>
      </c>
      <c r="M3" t="s">
        <v>38</v>
      </c>
      <c r="S3" t="s">
        <v>45</v>
      </c>
      <c r="T3" t="s">
        <v>44</v>
      </c>
    </row>
    <row r="4" spans="1:20" x14ac:dyDescent="0.2">
      <c r="A4" t="s">
        <v>10</v>
      </c>
      <c r="B4">
        <v>2</v>
      </c>
      <c r="C4">
        <v>135178.50700000001</v>
      </c>
      <c r="D4">
        <v>4.2050000000000001</v>
      </c>
      <c r="E4">
        <v>0</v>
      </c>
      <c r="F4">
        <v>210</v>
      </c>
      <c r="G4">
        <v>568425.98199999996</v>
      </c>
      <c r="H4">
        <v>276542</v>
      </c>
      <c r="I4">
        <f t="shared" ref="I4:I7" si="0">G4-(C4*$D$3)</f>
        <v>568155.62498600001</v>
      </c>
      <c r="J4">
        <f>AVERAGE(I4:I7)</f>
        <v>277228.75351850002</v>
      </c>
      <c r="M4" t="s">
        <v>39</v>
      </c>
      <c r="N4" t="s">
        <v>42</v>
      </c>
      <c r="O4" s="5" t="s">
        <v>41</v>
      </c>
      <c r="P4" s="4" t="s">
        <v>44</v>
      </c>
      <c r="R4" t="s">
        <v>21</v>
      </c>
      <c r="S4">
        <f>O5</f>
        <v>320264.2072843333</v>
      </c>
      <c r="T4">
        <f>P5</f>
        <v>108629.74428935369</v>
      </c>
    </row>
    <row r="5" spans="1:20" x14ac:dyDescent="0.2">
      <c r="B5">
        <v>3</v>
      </c>
      <c r="C5">
        <v>74400.08</v>
      </c>
      <c r="D5">
        <v>5.1239999999999997</v>
      </c>
      <c r="E5">
        <v>0</v>
      </c>
      <c r="F5">
        <v>134</v>
      </c>
      <c r="G5">
        <v>381200.71799999999</v>
      </c>
      <c r="H5">
        <v>185456</v>
      </c>
      <c r="I5">
        <f t="shared" si="0"/>
        <v>381051.91784000001</v>
      </c>
      <c r="L5" t="s">
        <v>21</v>
      </c>
      <c r="M5" t="s">
        <v>12</v>
      </c>
      <c r="N5" s="9">
        <f>J13</f>
        <v>288345.74530033331</v>
      </c>
      <c r="O5">
        <f>AVERAGE(N5:N11)</f>
        <v>320264.2072843333</v>
      </c>
      <c r="P5">
        <f>STDEV(N5:N10)</f>
        <v>108629.74428935369</v>
      </c>
      <c r="R5" t="s">
        <v>20</v>
      </c>
      <c r="S5" s="5">
        <f>O12</f>
        <v>234429.39760052782</v>
      </c>
      <c r="T5">
        <f>P12</f>
        <v>74598.400530580897</v>
      </c>
    </row>
    <row r="6" spans="1:20" x14ac:dyDescent="0.2">
      <c r="B6">
        <v>4</v>
      </c>
      <c r="C6">
        <v>50190.66</v>
      </c>
      <c r="D6">
        <v>2.5499999999999998</v>
      </c>
      <c r="E6">
        <v>0</v>
      </c>
      <c r="F6">
        <v>211</v>
      </c>
      <c r="G6">
        <v>127982.27899999999</v>
      </c>
      <c r="H6">
        <v>62264</v>
      </c>
      <c r="I6">
        <f t="shared" si="0"/>
        <v>127881.89767999999</v>
      </c>
      <c r="M6" t="s">
        <v>14</v>
      </c>
      <c r="N6" s="9">
        <f>J17</f>
        <v>154220.74516399999</v>
      </c>
    </row>
    <row r="7" spans="1:20" x14ac:dyDescent="0.2">
      <c r="B7">
        <v>5</v>
      </c>
      <c r="C7">
        <v>53138.216</v>
      </c>
      <c r="D7">
        <v>0.60099999999999998</v>
      </c>
      <c r="E7">
        <v>0</v>
      </c>
      <c r="F7">
        <v>42</v>
      </c>
      <c r="G7">
        <v>31931.85</v>
      </c>
      <c r="H7">
        <v>15535</v>
      </c>
      <c r="I7">
        <f t="shared" si="0"/>
        <v>31825.573568</v>
      </c>
      <c r="M7" t="s">
        <v>15</v>
      </c>
      <c r="N7" s="10">
        <f>J21</f>
        <v>423565.28612600005</v>
      </c>
    </row>
    <row r="8" spans="1:20" x14ac:dyDescent="0.2">
      <c r="A8" t="s">
        <v>11</v>
      </c>
      <c r="B8" t="s">
        <v>6</v>
      </c>
      <c r="C8">
        <v>6707.0249999999996</v>
      </c>
      <c r="D8">
        <v>4.0000000000000001E-3</v>
      </c>
      <c r="E8">
        <v>0</v>
      </c>
      <c r="F8">
        <v>2</v>
      </c>
      <c r="G8">
        <v>24.666</v>
      </c>
      <c r="H8">
        <v>12</v>
      </c>
      <c r="M8" t="s">
        <v>33</v>
      </c>
      <c r="N8" s="9">
        <f>I43</f>
        <v>231681.19880000001</v>
      </c>
    </row>
    <row r="9" spans="1:20" x14ac:dyDescent="0.2">
      <c r="A9" t="s">
        <v>10</v>
      </c>
      <c r="B9">
        <v>2</v>
      </c>
      <c r="C9">
        <v>74338.414999999994</v>
      </c>
      <c r="D9">
        <v>3.137</v>
      </c>
      <c r="E9">
        <v>0</v>
      </c>
      <c r="F9">
        <v>72</v>
      </c>
      <c r="G9">
        <v>233163.141</v>
      </c>
      <c r="H9">
        <v>113435</v>
      </c>
      <c r="I9">
        <f t="shared" ref="I9:I11" si="1">G9-(C9*$D$8)</f>
        <v>232865.78734000001</v>
      </c>
      <c r="J9">
        <f>AVERAGE(I9:I11)</f>
        <v>168471.61528133336</v>
      </c>
      <c r="M9" t="s">
        <v>34</v>
      </c>
      <c r="N9" s="9">
        <f>I45</f>
        <v>115211.62450000001</v>
      </c>
    </row>
    <row r="10" spans="1:20" x14ac:dyDescent="0.2">
      <c r="B10">
        <v>3</v>
      </c>
      <c r="C10">
        <v>75686.808999999994</v>
      </c>
      <c r="D10">
        <v>0.99</v>
      </c>
      <c r="E10">
        <v>0</v>
      </c>
      <c r="F10">
        <v>55</v>
      </c>
      <c r="G10">
        <v>74942.725999999995</v>
      </c>
      <c r="H10">
        <v>36460</v>
      </c>
      <c r="I10">
        <f t="shared" si="1"/>
        <v>74639.978764</v>
      </c>
      <c r="M10" t="s">
        <v>35</v>
      </c>
      <c r="N10" s="9">
        <f>I47</f>
        <v>244529.82920000001</v>
      </c>
    </row>
    <row r="11" spans="1:20" x14ac:dyDescent="0.2">
      <c r="B11">
        <v>4</v>
      </c>
      <c r="C11">
        <v>77734.065000000002</v>
      </c>
      <c r="D11">
        <v>2.5499999999999998</v>
      </c>
      <c r="E11">
        <v>0</v>
      </c>
      <c r="F11">
        <v>117</v>
      </c>
      <c r="G11">
        <v>198220.016</v>
      </c>
      <c r="H11">
        <v>96435</v>
      </c>
      <c r="I11">
        <f t="shared" si="1"/>
        <v>197909.07974000002</v>
      </c>
      <c r="M11" t="s">
        <v>36</v>
      </c>
      <c r="N11" s="10">
        <f>I49</f>
        <v>784295.02190000005</v>
      </c>
    </row>
    <row r="12" spans="1:20" x14ac:dyDescent="0.2">
      <c r="A12" t="s">
        <v>12</v>
      </c>
      <c r="B12" t="s">
        <v>6</v>
      </c>
      <c r="C12">
        <v>10160.227000000001</v>
      </c>
      <c r="D12">
        <v>8.9999999999999993E-3</v>
      </c>
      <c r="E12">
        <v>0</v>
      </c>
      <c r="F12">
        <v>3</v>
      </c>
      <c r="G12">
        <v>90.441000000000003</v>
      </c>
      <c r="H12">
        <v>44</v>
      </c>
      <c r="L12" t="s">
        <v>20</v>
      </c>
      <c r="M12" t="s">
        <v>29</v>
      </c>
      <c r="N12" s="9">
        <f>I27</f>
        <v>190791.97804999998</v>
      </c>
      <c r="O12" s="5">
        <f>AVERAGE(N12:N17)</f>
        <v>234429.39760052782</v>
      </c>
      <c r="P12">
        <f>STDEV(N12:N17)</f>
        <v>74598.400530580897</v>
      </c>
    </row>
    <row r="13" spans="1:20" x14ac:dyDescent="0.2">
      <c r="A13" t="s">
        <v>13</v>
      </c>
      <c r="B13">
        <v>2</v>
      </c>
      <c r="C13">
        <v>89220.076000000001</v>
      </c>
      <c r="D13">
        <v>2.2669999999999999</v>
      </c>
      <c r="E13">
        <v>0</v>
      </c>
      <c r="F13">
        <v>136</v>
      </c>
      <c r="G13">
        <v>202254.91899999999</v>
      </c>
      <c r="H13">
        <v>98398</v>
      </c>
      <c r="I13">
        <f t="shared" ref="I13:I15" si="2">G13-(C13*$D$12)</f>
        <v>201451.93831599999</v>
      </c>
      <c r="J13">
        <f>AVERAGE(I13:I15)</f>
        <v>288345.74530033331</v>
      </c>
      <c r="M13" t="s">
        <v>30</v>
      </c>
      <c r="N13" s="9">
        <f>I31</f>
        <v>255792.7126</v>
      </c>
    </row>
    <row r="14" spans="1:20" x14ac:dyDescent="0.2">
      <c r="B14">
        <v>3</v>
      </c>
      <c r="C14">
        <v>154802.155</v>
      </c>
      <c r="D14">
        <v>3.23</v>
      </c>
      <c r="E14">
        <v>0</v>
      </c>
      <c r="F14">
        <v>198</v>
      </c>
      <c r="G14">
        <v>500044.342</v>
      </c>
      <c r="H14">
        <v>243274</v>
      </c>
      <c r="I14">
        <f t="shared" si="2"/>
        <v>498651.12260499998</v>
      </c>
      <c r="M14" t="s">
        <v>31</v>
      </c>
      <c r="N14" s="9">
        <f>I33</f>
        <v>161621.53040333334</v>
      </c>
    </row>
    <row r="15" spans="1:20" x14ac:dyDescent="0.2">
      <c r="B15">
        <v>4</v>
      </c>
      <c r="C15">
        <v>63199.78</v>
      </c>
      <c r="D15">
        <v>2.6190000000000002</v>
      </c>
      <c r="E15">
        <v>0</v>
      </c>
      <c r="F15">
        <v>83</v>
      </c>
      <c r="G15">
        <v>165502.973</v>
      </c>
      <c r="H15">
        <v>80518</v>
      </c>
      <c r="I15">
        <f t="shared" si="2"/>
        <v>164934.17498000001</v>
      </c>
      <c r="M15" t="s">
        <v>32</v>
      </c>
      <c r="N15" s="9">
        <f>I39</f>
        <v>352669.79574999999</v>
      </c>
    </row>
    <row r="16" spans="1:20" x14ac:dyDescent="0.2">
      <c r="A16" t="s">
        <v>14</v>
      </c>
      <c r="B16" t="s">
        <v>6</v>
      </c>
      <c r="C16">
        <v>7050.2889999999998</v>
      </c>
      <c r="D16">
        <v>4.0000000000000001E-3</v>
      </c>
      <c r="E16">
        <v>0</v>
      </c>
      <c r="F16">
        <v>2</v>
      </c>
      <c r="G16">
        <v>28.777000000000001</v>
      </c>
      <c r="H16">
        <v>14</v>
      </c>
      <c r="M16" t="s">
        <v>9</v>
      </c>
      <c r="N16" s="9">
        <f>J4</f>
        <v>277228.75351850002</v>
      </c>
    </row>
    <row r="17" spans="1:16" x14ac:dyDescent="0.2">
      <c r="A17" t="s">
        <v>13</v>
      </c>
      <c r="B17">
        <v>2</v>
      </c>
      <c r="C17">
        <v>148004.68900000001</v>
      </c>
      <c r="D17">
        <v>1.837</v>
      </c>
      <c r="E17">
        <v>0</v>
      </c>
      <c r="F17">
        <v>83</v>
      </c>
      <c r="G17">
        <v>271871.90100000001</v>
      </c>
      <c r="H17">
        <v>132267</v>
      </c>
      <c r="I17">
        <f t="shared" ref="I17:I19" si="3">G17-(C17*$D$16)</f>
        <v>271279.88224400004</v>
      </c>
      <c r="J17">
        <f>AVERAGE(I17:I19)</f>
        <v>154220.74516399999</v>
      </c>
      <c r="M17" t="s">
        <v>11</v>
      </c>
      <c r="N17" s="9">
        <f>J9</f>
        <v>168471.61528133336</v>
      </c>
    </row>
    <row r="18" spans="1:16" x14ac:dyDescent="0.2">
      <c r="B18">
        <v>3</v>
      </c>
      <c r="C18">
        <v>85760.706000000006</v>
      </c>
      <c r="D18">
        <v>1.2829999999999999</v>
      </c>
      <c r="E18">
        <v>0</v>
      </c>
      <c r="F18">
        <v>60</v>
      </c>
      <c r="G18">
        <v>110027.679</v>
      </c>
      <c r="H18">
        <v>53529</v>
      </c>
      <c r="I18">
        <f t="shared" si="3"/>
        <v>109684.636176</v>
      </c>
    </row>
    <row r="19" spans="1:16" x14ac:dyDescent="0.2">
      <c r="B19">
        <v>4</v>
      </c>
      <c r="C19">
        <v>68171.982000000004</v>
      </c>
      <c r="D19">
        <v>1.202</v>
      </c>
      <c r="E19">
        <v>0</v>
      </c>
      <c r="F19">
        <v>52</v>
      </c>
      <c r="G19">
        <v>81970.404999999999</v>
      </c>
      <c r="H19">
        <v>39879</v>
      </c>
      <c r="I19">
        <f t="shared" si="3"/>
        <v>81697.717071999999</v>
      </c>
      <c r="N19" t="s">
        <v>43</v>
      </c>
    </row>
    <row r="20" spans="1:16" x14ac:dyDescent="0.2">
      <c r="A20" t="s">
        <v>15</v>
      </c>
      <c r="B20" t="s">
        <v>6</v>
      </c>
      <c r="C20">
        <v>7913.59</v>
      </c>
      <c r="D20">
        <v>6.0000000000000001E-3</v>
      </c>
      <c r="E20">
        <v>0</v>
      </c>
      <c r="F20">
        <v>2</v>
      </c>
      <c r="G20">
        <v>45.220999999999997</v>
      </c>
      <c r="H20">
        <v>22</v>
      </c>
    </row>
    <row r="21" spans="1:16" x14ac:dyDescent="0.2">
      <c r="A21" t="s">
        <v>13</v>
      </c>
      <c r="B21">
        <v>2</v>
      </c>
      <c r="C21">
        <v>55312.911999999997</v>
      </c>
      <c r="D21">
        <v>12.170999999999999</v>
      </c>
      <c r="E21">
        <v>0</v>
      </c>
      <c r="F21">
        <v>155</v>
      </c>
      <c r="G21">
        <v>673222.47</v>
      </c>
      <c r="H21">
        <v>327526</v>
      </c>
      <c r="I21">
        <f t="shared" ref="I21:I23" si="4">G21-(C21*$D$20)</f>
        <v>672890.59252800001</v>
      </c>
      <c r="J21">
        <f>AVERAGE(I21:I23)</f>
        <v>423565.28612600005</v>
      </c>
    </row>
    <row r="22" spans="1:16" x14ac:dyDescent="0.2">
      <c r="B22">
        <v>3</v>
      </c>
      <c r="C22">
        <v>124089.204</v>
      </c>
      <c r="D22">
        <v>3.6190000000000002</v>
      </c>
      <c r="E22">
        <v>0</v>
      </c>
      <c r="F22">
        <v>142</v>
      </c>
      <c r="G22">
        <v>449095.21</v>
      </c>
      <c r="H22">
        <v>218487</v>
      </c>
      <c r="I22">
        <f t="shared" si="4"/>
        <v>448350.67477600003</v>
      </c>
    </row>
    <row r="23" spans="1:16" x14ac:dyDescent="0.2">
      <c r="B23">
        <v>4</v>
      </c>
      <c r="C23">
        <v>128335.821</v>
      </c>
      <c r="D23">
        <v>1.171</v>
      </c>
      <c r="E23">
        <v>0</v>
      </c>
      <c r="F23">
        <v>50</v>
      </c>
      <c r="G23">
        <v>150224.606</v>
      </c>
      <c r="H23">
        <v>73085</v>
      </c>
      <c r="I23">
        <f t="shared" si="4"/>
        <v>149454.591074</v>
      </c>
    </row>
    <row r="24" spans="1:16" x14ac:dyDescent="0.2">
      <c r="H24" s="5"/>
      <c r="I24" s="5"/>
    </row>
    <row r="25" spans="1:16" x14ac:dyDescent="0.2">
      <c r="A25" t="s">
        <v>22</v>
      </c>
      <c r="H25" s="5"/>
      <c r="I25" s="5"/>
    </row>
    <row r="26" spans="1:16" x14ac:dyDescent="0.2">
      <c r="A26" t="s">
        <v>37</v>
      </c>
      <c r="B26" s="1" t="s">
        <v>23</v>
      </c>
      <c r="C26" s="1" t="s">
        <v>24</v>
      </c>
      <c r="D26" s="1" t="s">
        <v>25</v>
      </c>
      <c r="E26" s="1" t="s">
        <v>26</v>
      </c>
      <c r="F26" s="1" t="s">
        <v>27</v>
      </c>
      <c r="G26" s="1" t="s">
        <v>28</v>
      </c>
      <c r="H26" s="8" t="s">
        <v>17</v>
      </c>
      <c r="I26" s="7" t="s">
        <v>40</v>
      </c>
      <c r="O26" s="5">
        <f>AVERAGE(N27:N39)</f>
        <v>305701.00032084616</v>
      </c>
      <c r="P26">
        <f>STDEV(N27:N39)</f>
        <v>225803.55855232943</v>
      </c>
    </row>
    <row r="27" spans="1:16" x14ac:dyDescent="0.2">
      <c r="A27" t="s">
        <v>10</v>
      </c>
      <c r="B27" s="1">
        <v>1</v>
      </c>
      <c r="C27" s="2" t="s">
        <v>29</v>
      </c>
      <c r="D27" s="1">
        <v>73641.607999999993</v>
      </c>
      <c r="E27" s="1">
        <v>3.294</v>
      </c>
      <c r="F27" s="1">
        <v>242612.17300000001</v>
      </c>
      <c r="G27" s="1">
        <v>118032</v>
      </c>
      <c r="H27" s="6">
        <v>240697.49119999999</v>
      </c>
      <c r="I27" s="5">
        <f>AVERAGE(H27,H29)</f>
        <v>190791.97804999998</v>
      </c>
      <c r="J27" t="s">
        <v>10</v>
      </c>
      <c r="K27" s="5"/>
      <c r="L27" s="5"/>
      <c r="M27" t="s">
        <v>21</v>
      </c>
      <c r="N27" s="9">
        <f>H43</f>
        <v>231681.19880000001</v>
      </c>
    </row>
    <row r="28" spans="1:16" x14ac:dyDescent="0.2">
      <c r="B28" s="1">
        <v>2</v>
      </c>
      <c r="C28" s="2" t="s">
        <v>29</v>
      </c>
      <c r="D28" s="1">
        <v>5249.6909999999998</v>
      </c>
      <c r="E28" s="1">
        <v>2.5999999999999999E-2</v>
      </c>
      <c r="F28" s="1">
        <v>135.66200000000001</v>
      </c>
      <c r="G28" s="1">
        <v>66</v>
      </c>
      <c r="H28" s="6"/>
      <c r="I28" s="5"/>
      <c r="K28" s="5"/>
      <c r="N28" s="9">
        <f>I45</f>
        <v>115211.62450000001</v>
      </c>
    </row>
    <row r="29" spans="1:16" x14ac:dyDescent="0.2">
      <c r="B29" s="1">
        <v>3</v>
      </c>
      <c r="C29" s="2" t="s">
        <v>29</v>
      </c>
      <c r="D29" s="1">
        <v>69991.08</v>
      </c>
      <c r="E29" s="1">
        <v>2.0139999999999998</v>
      </c>
      <c r="F29" s="1">
        <v>140956.45600000001</v>
      </c>
      <c r="G29" s="1">
        <v>68576</v>
      </c>
      <c r="H29" s="6">
        <v>140886.46489999999</v>
      </c>
      <c r="I29" s="5"/>
      <c r="K29" s="5"/>
      <c r="N29" s="9">
        <f>I47</f>
        <v>244529.82920000001</v>
      </c>
    </row>
    <row r="30" spans="1:16" x14ac:dyDescent="0.2">
      <c r="B30" s="1">
        <v>4</v>
      </c>
      <c r="C30" s="2" t="s">
        <v>29</v>
      </c>
      <c r="D30" s="1">
        <v>5621.732</v>
      </c>
      <c r="E30" s="3">
        <v>1E-3</v>
      </c>
      <c r="F30" s="1">
        <v>8.2219999999999995</v>
      </c>
      <c r="G30" s="1">
        <v>4</v>
      </c>
      <c r="H30" s="6"/>
      <c r="I30" s="5"/>
      <c r="K30" s="5"/>
      <c r="N30" s="10">
        <f>I49</f>
        <v>784295.02190000005</v>
      </c>
    </row>
    <row r="31" spans="1:16" x14ac:dyDescent="0.2">
      <c r="A31" t="s">
        <v>10</v>
      </c>
      <c r="B31" s="1">
        <v>1</v>
      </c>
      <c r="C31" s="2" t="s">
        <v>30</v>
      </c>
      <c r="D31" s="1">
        <v>294804.86900000001</v>
      </c>
      <c r="E31" s="1">
        <v>0.86899999999999999</v>
      </c>
      <c r="F31" s="1">
        <v>256069.38699999999</v>
      </c>
      <c r="G31" s="1">
        <v>124579</v>
      </c>
      <c r="H31" s="6">
        <v>255792.7126</v>
      </c>
      <c r="I31" s="5">
        <f>H31</f>
        <v>255792.7126</v>
      </c>
      <c r="J31" t="s">
        <v>10</v>
      </c>
      <c r="K31" s="5"/>
      <c r="N31" s="9">
        <f>I13</f>
        <v>201451.93831599999</v>
      </c>
    </row>
    <row r="32" spans="1:16" x14ac:dyDescent="0.2">
      <c r="B32" s="1">
        <v>2</v>
      </c>
      <c r="C32" s="2" t="s">
        <v>30</v>
      </c>
      <c r="D32" s="1">
        <v>4380.2240000000002</v>
      </c>
      <c r="E32" s="3">
        <v>9.3899999999999995E-4</v>
      </c>
      <c r="F32" s="1">
        <v>4.1109999999999998</v>
      </c>
      <c r="G32" s="1">
        <v>2</v>
      </c>
      <c r="H32" s="6"/>
      <c r="I32" s="5"/>
      <c r="K32" s="5"/>
      <c r="N32" s="10">
        <f>I14</f>
        <v>498651.12260499998</v>
      </c>
    </row>
    <row r="33" spans="1:16" x14ac:dyDescent="0.2">
      <c r="A33" t="s">
        <v>10</v>
      </c>
      <c r="B33" s="1">
        <v>1</v>
      </c>
      <c r="C33" s="2" t="s">
        <v>31</v>
      </c>
      <c r="D33" s="1">
        <v>32283.337</v>
      </c>
      <c r="E33" s="1">
        <v>1.512</v>
      </c>
      <c r="F33" s="1">
        <v>48801.156999999999</v>
      </c>
      <c r="G33" s="1">
        <v>23742</v>
      </c>
      <c r="H33" s="6">
        <v>48782.255109999998</v>
      </c>
      <c r="I33" s="5">
        <f>AVERAGE(H33,H35,H37)</f>
        <v>161621.53040333334</v>
      </c>
      <c r="J33" t="s">
        <v>10</v>
      </c>
      <c r="K33" s="5"/>
      <c r="N33" s="9">
        <f>I15</f>
        <v>164934.17498000001</v>
      </c>
    </row>
    <row r="34" spans="1:16" x14ac:dyDescent="0.2">
      <c r="B34" s="1">
        <v>2</v>
      </c>
      <c r="C34" s="2" t="s">
        <v>31</v>
      </c>
      <c r="D34" s="1">
        <v>3510.7559999999999</v>
      </c>
      <c r="E34" s="3">
        <v>5.8600000000000004E-4</v>
      </c>
      <c r="F34" s="1">
        <v>2.0550000000000002</v>
      </c>
      <c r="G34" s="1">
        <v>1</v>
      </c>
      <c r="H34" s="6"/>
      <c r="I34" s="5"/>
      <c r="K34" s="5"/>
      <c r="N34" s="9">
        <f>I17</f>
        <v>271279.88224400004</v>
      </c>
    </row>
    <row r="35" spans="1:16" x14ac:dyDescent="0.2">
      <c r="B35" s="1">
        <v>3</v>
      </c>
      <c r="C35" s="2" t="s">
        <v>31</v>
      </c>
      <c r="D35" s="1">
        <v>70402.175000000003</v>
      </c>
      <c r="E35" s="1">
        <v>3.391</v>
      </c>
      <c r="F35" s="1">
        <v>238754.041</v>
      </c>
      <c r="G35" s="1">
        <v>116155</v>
      </c>
      <c r="H35" s="6">
        <v>238613.23670000001</v>
      </c>
      <c r="I35" s="5"/>
      <c r="K35" s="5"/>
      <c r="N35" s="9">
        <f>I18</f>
        <v>109684.636176</v>
      </c>
    </row>
    <row r="36" spans="1:16" x14ac:dyDescent="0.2">
      <c r="B36" s="1">
        <v>4</v>
      </c>
      <c r="C36" s="2" t="s">
        <v>31</v>
      </c>
      <c r="D36" s="1">
        <v>6219.8760000000002</v>
      </c>
      <c r="E36" s="1">
        <v>2E-3</v>
      </c>
      <c r="F36" s="1">
        <v>12.333</v>
      </c>
      <c r="G36" s="1">
        <v>6</v>
      </c>
      <c r="H36" s="6"/>
      <c r="I36" s="5"/>
      <c r="K36" s="5"/>
      <c r="N36" s="10">
        <f>I19</f>
        <v>81697.717071999999</v>
      </c>
    </row>
    <row r="37" spans="1:16" x14ac:dyDescent="0.2">
      <c r="B37" s="1">
        <v>5</v>
      </c>
      <c r="C37" s="2" t="s">
        <v>31</v>
      </c>
      <c r="D37" s="1">
        <v>98578.667000000001</v>
      </c>
      <c r="E37" s="1">
        <v>2.004</v>
      </c>
      <c r="F37" s="1">
        <v>197527.32</v>
      </c>
      <c r="G37" s="1">
        <v>96098</v>
      </c>
      <c r="H37" s="6">
        <v>197469.09940000001</v>
      </c>
      <c r="I37" s="5"/>
      <c r="N37" s="10">
        <f>I21</f>
        <v>672890.59252800001</v>
      </c>
    </row>
    <row r="38" spans="1:16" x14ac:dyDescent="0.2">
      <c r="B38" s="1">
        <v>6</v>
      </c>
      <c r="C38" s="2" t="s">
        <v>31</v>
      </c>
      <c r="D38" s="1">
        <v>10441.828</v>
      </c>
      <c r="E38" s="3">
        <v>5.9100000000000005E-4</v>
      </c>
      <c r="F38" s="1">
        <v>6.1660000000000004</v>
      </c>
      <c r="G38" s="1">
        <v>3</v>
      </c>
      <c r="H38" s="6"/>
      <c r="I38" s="5"/>
      <c r="N38" s="9">
        <f>I22</f>
        <v>448350.67477600003</v>
      </c>
    </row>
    <row r="39" spans="1:16" x14ac:dyDescent="0.2">
      <c r="A39" t="s">
        <v>10</v>
      </c>
      <c r="B39" s="1">
        <v>1</v>
      </c>
      <c r="C39" s="2" t="s">
        <v>32</v>
      </c>
      <c r="D39" s="1">
        <v>55695.23</v>
      </c>
      <c r="E39" s="1">
        <v>6.65</v>
      </c>
      <c r="F39" s="1">
        <v>370395.07</v>
      </c>
      <c r="G39" s="1">
        <v>180199</v>
      </c>
      <c r="H39" s="8">
        <v>370375.22019999998</v>
      </c>
      <c r="I39" s="5">
        <f>AVERAGE(H39,H41)</f>
        <v>352669.79574999999</v>
      </c>
      <c r="J39" t="s">
        <v>10</v>
      </c>
      <c r="N39" s="9">
        <f>I23</f>
        <v>149454.591074</v>
      </c>
    </row>
    <row r="40" spans="1:16" x14ac:dyDescent="0.2">
      <c r="B40" s="1">
        <v>2</v>
      </c>
      <c r="C40" s="2" t="s">
        <v>32</v>
      </c>
      <c r="D40" s="1">
        <v>5767.6710000000003</v>
      </c>
      <c r="E40" s="3">
        <v>3.5599999999999998E-4</v>
      </c>
      <c r="F40" s="1">
        <v>2.0550000000000002</v>
      </c>
      <c r="G40" s="1">
        <v>1</v>
      </c>
      <c r="H40" s="6"/>
      <c r="I40" s="5"/>
      <c r="M40" t="s">
        <v>20</v>
      </c>
      <c r="N40" s="9">
        <f>H27</f>
        <v>240697.49119999999</v>
      </c>
      <c r="O40" s="5">
        <f>AVERAGE(N40:N54)</f>
        <v>229460.71408853334</v>
      </c>
      <c r="P40">
        <f>STDEV(N40:N54)</f>
        <v>142791.93027827205</v>
      </c>
    </row>
    <row r="41" spans="1:16" x14ac:dyDescent="0.2">
      <c r="B41" s="1">
        <v>3</v>
      </c>
      <c r="C41" s="2" t="s">
        <v>32</v>
      </c>
      <c r="D41" s="1">
        <v>70311.733999999997</v>
      </c>
      <c r="E41" s="1">
        <v>4.7649999999999997</v>
      </c>
      <c r="F41" s="1">
        <v>335034.68300000002</v>
      </c>
      <c r="G41" s="1">
        <v>162996</v>
      </c>
      <c r="H41" s="8">
        <v>334964.3713</v>
      </c>
      <c r="I41" s="5"/>
      <c r="N41" s="9">
        <f>H29</f>
        <v>140886.46489999999</v>
      </c>
    </row>
    <row r="42" spans="1:16" x14ac:dyDescent="0.2">
      <c r="B42" s="1">
        <v>4</v>
      </c>
      <c r="C42" s="2" t="s">
        <v>32</v>
      </c>
      <c r="D42" s="1">
        <v>7243.5039999999999</v>
      </c>
      <c r="E42" s="1">
        <v>1E-3</v>
      </c>
      <c r="F42" s="1">
        <v>10.276999999999999</v>
      </c>
      <c r="G42" s="1">
        <v>5</v>
      </c>
      <c r="H42" s="6"/>
      <c r="I42" s="5"/>
      <c r="N42" s="9">
        <f>H31</f>
        <v>255792.7126</v>
      </c>
    </row>
    <row r="43" spans="1:16" x14ac:dyDescent="0.2">
      <c r="A43" t="s">
        <v>13</v>
      </c>
      <c r="B43" s="1">
        <v>1</v>
      </c>
      <c r="C43" s="2" t="s">
        <v>33</v>
      </c>
      <c r="D43" s="1">
        <v>456982.07900000003</v>
      </c>
      <c r="E43" s="1">
        <v>0.51</v>
      </c>
      <c r="F43" s="1">
        <v>233052.14499999999</v>
      </c>
      <c r="G43" s="1">
        <v>113381</v>
      </c>
      <c r="H43" s="6">
        <v>231681.19880000001</v>
      </c>
      <c r="I43" s="5">
        <f>H43</f>
        <v>231681.19880000001</v>
      </c>
      <c r="J43" t="s">
        <v>13</v>
      </c>
      <c r="N43" s="10">
        <f>H33</f>
        <v>48782.255109999998</v>
      </c>
    </row>
    <row r="44" spans="1:16" x14ac:dyDescent="0.2">
      <c r="B44" s="1">
        <v>2</v>
      </c>
      <c r="C44" s="2" t="s">
        <v>33</v>
      </c>
      <c r="D44" s="1">
        <v>14242.406999999999</v>
      </c>
      <c r="E44" s="1">
        <v>3.0000000000000001E-3</v>
      </c>
      <c r="F44" s="1">
        <v>36.999000000000002</v>
      </c>
      <c r="G44" s="1">
        <v>18</v>
      </c>
      <c r="H44" s="6"/>
      <c r="I44" s="5"/>
      <c r="N44" s="9">
        <f>H35</f>
        <v>238613.23670000001</v>
      </c>
    </row>
    <row r="45" spans="1:16" x14ac:dyDescent="0.2">
      <c r="A45" t="s">
        <v>13</v>
      </c>
      <c r="B45" s="1">
        <v>1</v>
      </c>
      <c r="C45" s="2" t="s">
        <v>34</v>
      </c>
      <c r="D45" s="1">
        <v>95986.709000000003</v>
      </c>
      <c r="E45" s="1">
        <v>1.2010000000000001</v>
      </c>
      <c r="F45" s="1">
        <v>115256.815</v>
      </c>
      <c r="G45" s="1">
        <v>56073</v>
      </c>
      <c r="H45" s="6">
        <v>115211.62450000001</v>
      </c>
      <c r="I45" s="5">
        <f>H45</f>
        <v>115211.62450000001</v>
      </c>
      <c r="J45" t="s">
        <v>13</v>
      </c>
      <c r="N45" s="9">
        <f>H37</f>
        <v>197469.09940000001</v>
      </c>
    </row>
    <row r="46" spans="1:16" x14ac:dyDescent="0.2">
      <c r="B46" s="1">
        <v>2</v>
      </c>
      <c r="C46" s="2" t="s">
        <v>34</v>
      </c>
      <c r="D46" s="1">
        <v>4365.835</v>
      </c>
      <c r="E46" s="3">
        <v>4.7100000000000001E-4</v>
      </c>
      <c r="F46" s="1">
        <v>2.0550000000000002</v>
      </c>
      <c r="G46" s="1">
        <v>1</v>
      </c>
      <c r="H46" s="6"/>
      <c r="I46" s="5"/>
      <c r="N46" s="9">
        <f>H39</f>
        <v>370375.22019999998</v>
      </c>
    </row>
    <row r="47" spans="1:16" x14ac:dyDescent="0.2">
      <c r="A47" t="s">
        <v>13</v>
      </c>
      <c r="B47" s="1">
        <v>1</v>
      </c>
      <c r="C47" s="2" t="s">
        <v>35</v>
      </c>
      <c r="D47" s="1">
        <v>232871.26300000001</v>
      </c>
      <c r="E47" s="1">
        <v>1.0569999999999999</v>
      </c>
      <c r="F47" s="1">
        <v>246159.92800000001</v>
      </c>
      <c r="G47" s="1">
        <v>119758</v>
      </c>
      <c r="H47" s="6">
        <v>244529.82920000001</v>
      </c>
      <c r="I47" s="5">
        <f>H47</f>
        <v>244529.82920000001</v>
      </c>
      <c r="J47" t="s">
        <v>13</v>
      </c>
      <c r="N47" s="9">
        <f>H41</f>
        <v>334964.3713</v>
      </c>
    </row>
    <row r="48" spans="1:16" x14ac:dyDescent="0.2">
      <c r="B48" s="1">
        <v>2</v>
      </c>
      <c r="C48" s="2" t="s">
        <v>35</v>
      </c>
      <c r="D48" s="1">
        <v>18287.587</v>
      </c>
      <c r="E48" s="1">
        <v>7.0000000000000001E-3</v>
      </c>
      <c r="F48" s="1">
        <v>123.32899999999999</v>
      </c>
      <c r="G48" s="1">
        <v>60</v>
      </c>
      <c r="H48" s="6"/>
      <c r="I48" s="5"/>
      <c r="N48" s="10">
        <f>I4</f>
        <v>568155.62498600001</v>
      </c>
    </row>
    <row r="49" spans="1:16" x14ac:dyDescent="0.2">
      <c r="A49" t="s">
        <v>13</v>
      </c>
      <c r="B49" s="1">
        <v>1</v>
      </c>
      <c r="C49" s="2" t="s">
        <v>36</v>
      </c>
      <c r="D49" s="1">
        <v>262953.18300000002</v>
      </c>
      <c r="E49" s="1">
        <v>3.0710000000000002</v>
      </c>
      <c r="F49" s="1">
        <v>807434.902</v>
      </c>
      <c r="G49" s="1">
        <v>392821</v>
      </c>
      <c r="H49" s="6">
        <v>784295.02190000005</v>
      </c>
      <c r="I49" s="5">
        <f>H49</f>
        <v>784295.02190000005</v>
      </c>
      <c r="J49" t="s">
        <v>13</v>
      </c>
      <c r="N49" s="9">
        <f>I5</f>
        <v>381051.91784000001</v>
      </c>
    </row>
    <row r="50" spans="1:16" x14ac:dyDescent="0.2">
      <c r="B50" s="1">
        <v>2</v>
      </c>
      <c r="C50" s="2" t="s">
        <v>36</v>
      </c>
      <c r="D50" s="1">
        <v>14468.509</v>
      </c>
      <c r="E50" s="1">
        <v>8.7999999999999995E-2</v>
      </c>
      <c r="F50" s="1">
        <v>1268.23</v>
      </c>
      <c r="G50" s="1">
        <v>617</v>
      </c>
      <c r="H50" s="6"/>
      <c r="I50" s="5"/>
      <c r="N50" s="9">
        <f>I6</f>
        <v>127881.89767999999</v>
      </c>
    </row>
    <row r="51" spans="1:16" x14ac:dyDescent="0.2">
      <c r="H51" s="5"/>
      <c r="I51" s="5"/>
      <c r="N51" s="9">
        <f>I7</f>
        <v>31825.573568</v>
      </c>
    </row>
    <row r="52" spans="1:16" x14ac:dyDescent="0.2">
      <c r="H52" s="5"/>
      <c r="I52" s="5"/>
      <c r="N52" s="9">
        <f>I9</f>
        <v>232865.78734000001</v>
      </c>
    </row>
    <row r="53" spans="1:16" x14ac:dyDescent="0.2">
      <c r="N53" s="10">
        <f>I10</f>
        <v>74639.978764</v>
      </c>
    </row>
    <row r="54" spans="1:16" x14ac:dyDescent="0.2">
      <c r="N54" s="9">
        <f>I11</f>
        <v>197909.07974000002</v>
      </c>
    </row>
    <row r="57" spans="1:16" x14ac:dyDescent="0.2">
      <c r="M57" t="s">
        <v>21</v>
      </c>
      <c r="N57" s="9">
        <v>231681.19880000001</v>
      </c>
      <c r="O57" s="9">
        <f>AVERAGE(N57:N69)</f>
        <v>305701.00032084616</v>
      </c>
      <c r="P57">
        <f>STDEV(N57:N69)</f>
        <v>225803.55855232943</v>
      </c>
    </row>
    <row r="58" spans="1:16" x14ac:dyDescent="0.2">
      <c r="N58" s="9">
        <v>115211.62450000001</v>
      </c>
    </row>
    <row r="59" spans="1:16" x14ac:dyDescent="0.2">
      <c r="N59" s="9">
        <v>244529.82920000001</v>
      </c>
    </row>
    <row r="60" spans="1:16" x14ac:dyDescent="0.2">
      <c r="N60" s="10">
        <v>784295.02190000005</v>
      </c>
    </row>
    <row r="61" spans="1:16" x14ac:dyDescent="0.2">
      <c r="N61" s="9">
        <v>201451.93831599999</v>
      </c>
    </row>
    <row r="62" spans="1:16" x14ac:dyDescent="0.2">
      <c r="N62" s="9">
        <v>498651.12260499998</v>
      </c>
    </row>
    <row r="63" spans="1:16" x14ac:dyDescent="0.2">
      <c r="N63" s="9">
        <v>164934.17498000001</v>
      </c>
    </row>
    <row r="64" spans="1:16" x14ac:dyDescent="0.2">
      <c r="N64" s="9">
        <v>271279.88224400004</v>
      </c>
    </row>
    <row r="65" spans="13:16" x14ac:dyDescent="0.2">
      <c r="N65" s="9">
        <v>109684.636176</v>
      </c>
    </row>
    <row r="66" spans="13:16" x14ac:dyDescent="0.2">
      <c r="N66" s="10">
        <v>81697.717071999999</v>
      </c>
    </row>
    <row r="67" spans="13:16" x14ac:dyDescent="0.2">
      <c r="N67" s="9">
        <v>672890.59252800001</v>
      </c>
    </row>
    <row r="68" spans="13:16" x14ac:dyDescent="0.2">
      <c r="N68" s="9">
        <v>448350.67477600003</v>
      </c>
    </row>
    <row r="69" spans="13:16" x14ac:dyDescent="0.2">
      <c r="N69" s="9">
        <v>149454.591074</v>
      </c>
    </row>
    <row r="70" spans="13:16" x14ac:dyDescent="0.2">
      <c r="M70" t="s">
        <v>20</v>
      </c>
      <c r="N70" s="9">
        <v>240697.49119999999</v>
      </c>
      <c r="O70" s="9">
        <f>AVERAGE(N70:N84)</f>
        <v>229460.71408853334</v>
      </c>
      <c r="P70">
        <f>STDEV(N70:N84)</f>
        <v>142791.93027827205</v>
      </c>
    </row>
    <row r="71" spans="13:16" x14ac:dyDescent="0.2">
      <c r="N71" s="9">
        <v>140886.46489999999</v>
      </c>
    </row>
    <row r="72" spans="13:16" x14ac:dyDescent="0.2">
      <c r="N72" s="9">
        <v>255792.7126</v>
      </c>
    </row>
    <row r="73" spans="13:16" x14ac:dyDescent="0.2">
      <c r="N73" s="9">
        <v>48782.255109999998</v>
      </c>
    </row>
    <row r="74" spans="13:16" x14ac:dyDescent="0.2">
      <c r="N74" s="9">
        <v>238613.23670000001</v>
      </c>
    </row>
    <row r="75" spans="13:16" x14ac:dyDescent="0.2">
      <c r="N75" s="9">
        <v>197469.09940000001</v>
      </c>
    </row>
    <row r="76" spans="13:16" x14ac:dyDescent="0.2">
      <c r="N76" s="9">
        <v>370375.22019999998</v>
      </c>
    </row>
    <row r="77" spans="13:16" x14ac:dyDescent="0.2">
      <c r="N77" s="9">
        <v>334964.3713</v>
      </c>
    </row>
    <row r="78" spans="13:16" x14ac:dyDescent="0.2">
      <c r="N78" s="9">
        <v>568155.62498600001</v>
      </c>
    </row>
    <row r="79" spans="13:16" x14ac:dyDescent="0.2">
      <c r="N79" s="9">
        <v>381051.91784000001</v>
      </c>
    </row>
    <row r="80" spans="13:16" x14ac:dyDescent="0.2">
      <c r="N80" s="9">
        <v>127881.89767999999</v>
      </c>
    </row>
    <row r="81" spans="14:14" x14ac:dyDescent="0.2">
      <c r="N81" s="9">
        <v>31825.573568</v>
      </c>
    </row>
    <row r="82" spans="14:14" x14ac:dyDescent="0.2">
      <c r="N82" s="9">
        <v>232865.78734000001</v>
      </c>
    </row>
    <row r="83" spans="14:14" x14ac:dyDescent="0.2">
      <c r="N83" s="10">
        <v>74639.978764</v>
      </c>
    </row>
    <row r="84" spans="14:14" x14ac:dyDescent="0.2">
      <c r="N84" s="9">
        <v>197909.07974000002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B9A47-0457-BB4F-B301-58154C1A4F67}">
  <dimension ref="A1:P168"/>
  <sheetViews>
    <sheetView tabSelected="1" zoomScale="125" workbookViewId="0">
      <selection activeCell="F10" sqref="F10"/>
    </sheetView>
  </sheetViews>
  <sheetFormatPr baseColWidth="10" defaultRowHeight="16" x14ac:dyDescent="0.2"/>
  <sheetData>
    <row r="1" spans="1:16" x14ac:dyDescent="0.2">
      <c r="A1" s="20" t="s">
        <v>59</v>
      </c>
      <c r="B1" s="20"/>
      <c r="C1" s="20"/>
      <c r="D1" s="20"/>
      <c r="E1" s="20"/>
      <c r="F1" s="20"/>
      <c r="G1" s="20"/>
      <c r="H1" s="20"/>
      <c r="I1" s="20"/>
      <c r="J1" s="20"/>
    </row>
    <row r="2" spans="1:16" x14ac:dyDescent="0.2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17</v>
      </c>
      <c r="J2" t="s">
        <v>56</v>
      </c>
    </row>
    <row r="3" spans="1:16" x14ac:dyDescent="0.2">
      <c r="A3" s="15">
        <v>1</v>
      </c>
      <c r="B3" s="15" t="s">
        <v>46</v>
      </c>
      <c r="C3" s="15">
        <v>752.11099999999999</v>
      </c>
      <c r="D3" s="15">
        <v>6.7329999999999997</v>
      </c>
      <c r="E3" s="15">
        <v>5063.5969999999998</v>
      </c>
      <c r="F3" s="15">
        <v>17518</v>
      </c>
      <c r="G3" s="16">
        <f t="shared" ref="G3:G79" si="0">IF(MOD(A3,2)&gt;0, E3-(C3*D4), "")</f>
        <v>5063.5969999999998</v>
      </c>
      <c r="H3" s="15" t="s">
        <v>21</v>
      </c>
      <c r="J3" t="s">
        <v>17</v>
      </c>
    </row>
    <row r="4" spans="1:16" x14ac:dyDescent="0.2">
      <c r="A4">
        <v>2</v>
      </c>
      <c r="B4" t="s">
        <v>46</v>
      </c>
      <c r="C4">
        <v>32.374000000000002</v>
      </c>
      <c r="D4">
        <v>0</v>
      </c>
      <c r="E4">
        <v>0</v>
      </c>
      <c r="F4">
        <v>0</v>
      </c>
      <c r="G4" s="4" t="str">
        <f t="shared" si="0"/>
        <v/>
      </c>
      <c r="J4" t="s">
        <v>21</v>
      </c>
      <c r="L4" t="s">
        <v>20</v>
      </c>
      <c r="O4" t="s">
        <v>58</v>
      </c>
      <c r="P4" t="s">
        <v>44</v>
      </c>
    </row>
    <row r="5" spans="1:16" x14ac:dyDescent="0.2">
      <c r="A5">
        <v>3</v>
      </c>
      <c r="B5" t="s">
        <v>46</v>
      </c>
      <c r="C5">
        <v>371.142</v>
      </c>
      <c r="D5">
        <v>13.71</v>
      </c>
      <c r="E5">
        <v>5088.1660000000002</v>
      </c>
      <c r="F5">
        <v>17603</v>
      </c>
      <c r="G5" s="4">
        <f t="shared" si="0"/>
        <v>5086.3102900000004</v>
      </c>
      <c r="I5" t="s">
        <v>57</v>
      </c>
      <c r="J5" s="4">
        <f>G3</f>
        <v>5063.5969999999998</v>
      </c>
      <c r="K5" t="s">
        <v>54</v>
      </c>
      <c r="L5" s="4">
        <f>G125</f>
        <v>6500.6888159999999</v>
      </c>
      <c r="N5" t="s">
        <v>21</v>
      </c>
      <c r="O5" s="4">
        <f>AVERAGE(J5:J45)</f>
        <v>8861.2299724146324</v>
      </c>
      <c r="P5">
        <f>STDEV(J5:J45)</f>
        <v>5048.0068153308475</v>
      </c>
    </row>
    <row r="6" spans="1:16" x14ac:dyDescent="0.2">
      <c r="A6">
        <v>4</v>
      </c>
      <c r="B6" t="s">
        <v>46</v>
      </c>
      <c r="C6">
        <v>57.231999999999999</v>
      </c>
      <c r="D6" s="9">
        <v>5.0000000000000001E-3</v>
      </c>
      <c r="E6">
        <v>0.28899999999999998</v>
      </c>
      <c r="F6">
        <v>1</v>
      </c>
      <c r="G6" s="4" t="str">
        <f t="shared" si="0"/>
        <v/>
      </c>
      <c r="J6" s="4">
        <f>G5</f>
        <v>5086.3102900000004</v>
      </c>
      <c r="L6" s="4">
        <f>G127</f>
        <v>6845.3069999999998</v>
      </c>
      <c r="N6" t="s">
        <v>20</v>
      </c>
      <c r="O6" s="4">
        <f>AVERAGE(L5:L46)</f>
        <v>5343.1084600000013</v>
      </c>
      <c r="P6">
        <f>STDEV(L5:L46)</f>
        <v>4056.5488403034574</v>
      </c>
    </row>
    <row r="7" spans="1:16" x14ac:dyDescent="0.2">
      <c r="A7">
        <v>5</v>
      </c>
      <c r="B7" t="s">
        <v>46</v>
      </c>
      <c r="C7">
        <v>517.11199999999997</v>
      </c>
      <c r="D7">
        <v>12.275</v>
      </c>
      <c r="E7">
        <v>6347.5609999999997</v>
      </c>
      <c r="F7">
        <v>21960</v>
      </c>
      <c r="G7" s="4">
        <f t="shared" si="0"/>
        <v>6347.5609999999997</v>
      </c>
      <c r="J7" s="4">
        <f>G7</f>
        <v>6347.5609999999997</v>
      </c>
      <c r="L7" s="4">
        <f>G129</f>
        <v>3604.1779999999999</v>
      </c>
    </row>
    <row r="8" spans="1:16" x14ac:dyDescent="0.2">
      <c r="A8">
        <v>6</v>
      </c>
      <c r="B8" t="s">
        <v>46</v>
      </c>
      <c r="C8">
        <v>36.131</v>
      </c>
      <c r="D8" s="9">
        <v>0</v>
      </c>
      <c r="E8">
        <v>0</v>
      </c>
      <c r="F8">
        <v>0</v>
      </c>
      <c r="G8" s="4" t="str">
        <f t="shared" si="0"/>
        <v/>
      </c>
      <c r="J8" s="4">
        <f>G9</f>
        <v>3148.922</v>
      </c>
      <c r="L8" s="4">
        <f>G131</f>
        <v>1685.688576</v>
      </c>
    </row>
    <row r="9" spans="1:16" x14ac:dyDescent="0.2">
      <c r="A9">
        <v>7</v>
      </c>
      <c r="B9" t="s">
        <v>46</v>
      </c>
      <c r="C9">
        <v>899.23800000000006</v>
      </c>
      <c r="D9">
        <v>3.5019999999999998</v>
      </c>
      <c r="E9">
        <v>3148.922</v>
      </c>
      <c r="F9">
        <v>10894</v>
      </c>
      <c r="G9" s="4">
        <f t="shared" si="0"/>
        <v>3148.922</v>
      </c>
      <c r="J9" s="4">
        <f>G11</f>
        <v>11617.952852</v>
      </c>
      <c r="L9" s="4">
        <f>G133</f>
        <v>4047.5819999999999</v>
      </c>
    </row>
    <row r="10" spans="1:16" x14ac:dyDescent="0.2">
      <c r="A10">
        <v>8</v>
      </c>
      <c r="B10" t="s">
        <v>46</v>
      </c>
      <c r="C10">
        <v>39.6</v>
      </c>
      <c r="D10" s="9">
        <v>0</v>
      </c>
      <c r="E10">
        <v>0</v>
      </c>
      <c r="F10">
        <v>0</v>
      </c>
      <c r="G10" s="4" t="str">
        <f t="shared" si="0"/>
        <v/>
      </c>
      <c r="J10" s="4">
        <f>G13</f>
        <v>12783.482960000001</v>
      </c>
      <c r="L10" s="4">
        <f>G135</f>
        <v>10648.063</v>
      </c>
    </row>
    <row r="11" spans="1:16" x14ac:dyDescent="0.2">
      <c r="A11">
        <v>9</v>
      </c>
      <c r="B11" t="s">
        <v>46</v>
      </c>
      <c r="C11">
        <v>957.62599999999998</v>
      </c>
      <c r="D11">
        <v>13.53</v>
      </c>
      <c r="E11">
        <v>12956.714</v>
      </c>
      <c r="F11">
        <v>44825</v>
      </c>
      <c r="G11" s="4">
        <f t="shared" si="0"/>
        <v>11617.952852</v>
      </c>
      <c r="J11" s="4">
        <f>G15</f>
        <v>7864.7531550000003</v>
      </c>
      <c r="L11" s="4">
        <f>G137</f>
        <v>10233.00906</v>
      </c>
    </row>
    <row r="12" spans="1:16" x14ac:dyDescent="0.2">
      <c r="A12">
        <v>10</v>
      </c>
      <c r="B12" t="s">
        <v>46</v>
      </c>
      <c r="C12">
        <v>34.107999999999997</v>
      </c>
      <c r="D12">
        <v>1.3979999999999999</v>
      </c>
      <c r="E12">
        <v>47.692999999999998</v>
      </c>
      <c r="F12">
        <v>165</v>
      </c>
      <c r="G12" s="4" t="str">
        <f t="shared" si="0"/>
        <v/>
      </c>
      <c r="J12" s="4">
        <f>G17</f>
        <v>14958.971</v>
      </c>
      <c r="L12" s="4">
        <f>G139</f>
        <v>1810.616</v>
      </c>
    </row>
    <row r="13" spans="1:16" x14ac:dyDescent="0.2">
      <c r="A13">
        <v>11</v>
      </c>
      <c r="B13" t="s">
        <v>46</v>
      </c>
      <c r="C13">
        <v>1014.28</v>
      </c>
      <c r="D13">
        <v>14.972</v>
      </c>
      <c r="E13">
        <v>15185.298000000001</v>
      </c>
      <c r="F13">
        <v>52535</v>
      </c>
      <c r="G13" s="4">
        <f t="shared" si="0"/>
        <v>12783.482960000001</v>
      </c>
      <c r="J13" s="4">
        <f>G19</f>
        <v>10887.976000000001</v>
      </c>
      <c r="L13" s="4">
        <f>G141</f>
        <v>16158.822</v>
      </c>
    </row>
    <row r="14" spans="1:16" x14ac:dyDescent="0.2">
      <c r="A14">
        <v>12</v>
      </c>
      <c r="B14" t="s">
        <v>46</v>
      </c>
      <c r="C14">
        <v>19.655000000000001</v>
      </c>
      <c r="D14" s="9">
        <v>2.3679999999999999</v>
      </c>
      <c r="E14">
        <v>46.536999999999999</v>
      </c>
      <c r="F14">
        <v>161</v>
      </c>
      <c r="G14" s="4" t="str">
        <f t="shared" si="0"/>
        <v/>
      </c>
      <c r="J14" s="4">
        <f>G21</f>
        <v>6080.3599340000001</v>
      </c>
      <c r="L14" s="4">
        <f>G143</f>
        <v>8517.7569999999996</v>
      </c>
    </row>
    <row r="15" spans="1:16" x14ac:dyDescent="0.2">
      <c r="A15">
        <v>13</v>
      </c>
      <c r="B15" t="s">
        <v>46</v>
      </c>
      <c r="C15">
        <v>1195.5150000000001</v>
      </c>
      <c r="D15">
        <v>6.6020000000000003</v>
      </c>
      <c r="E15">
        <v>7892.25</v>
      </c>
      <c r="F15">
        <v>27304</v>
      </c>
      <c r="G15" s="4">
        <f t="shared" si="0"/>
        <v>7864.7531550000003</v>
      </c>
      <c r="J15" s="4">
        <f>G23</f>
        <v>10234.858044000001</v>
      </c>
      <c r="L15" s="4">
        <f>G145</f>
        <v>13347.110932</v>
      </c>
    </row>
    <row r="16" spans="1:16" x14ac:dyDescent="0.2">
      <c r="A16">
        <v>14</v>
      </c>
      <c r="B16" t="s">
        <v>46</v>
      </c>
      <c r="C16">
        <v>37.866</v>
      </c>
      <c r="D16" s="9">
        <v>2.3E-2</v>
      </c>
      <c r="E16">
        <v>0.86699999999999999</v>
      </c>
      <c r="F16">
        <v>3</v>
      </c>
      <c r="G16" s="4" t="str">
        <f t="shared" si="0"/>
        <v/>
      </c>
      <c r="J16" s="4">
        <f>G25</f>
        <v>1957.7429999999999</v>
      </c>
      <c r="L16" s="4">
        <f>G147</f>
        <v>3533.6489999999999</v>
      </c>
    </row>
    <row r="17" spans="1:12" x14ac:dyDescent="0.2">
      <c r="A17">
        <v>15</v>
      </c>
      <c r="B17" t="s">
        <v>46</v>
      </c>
      <c r="C17">
        <v>812.52300000000002</v>
      </c>
      <c r="D17">
        <v>18.411000000000001</v>
      </c>
      <c r="E17">
        <v>14958.971</v>
      </c>
      <c r="F17">
        <v>51752</v>
      </c>
      <c r="G17" s="4">
        <f t="shared" si="0"/>
        <v>14958.971</v>
      </c>
      <c r="I17" t="s">
        <v>52</v>
      </c>
      <c r="J17" s="4">
        <f>G81</f>
        <v>17866.825000000001</v>
      </c>
      <c r="L17" s="4">
        <f>G149</f>
        <v>4835.7965220000006</v>
      </c>
    </row>
    <row r="18" spans="1:12" x14ac:dyDescent="0.2">
      <c r="A18">
        <v>16</v>
      </c>
      <c r="B18" t="s">
        <v>46</v>
      </c>
      <c r="C18">
        <v>13.585000000000001</v>
      </c>
      <c r="D18">
        <v>0</v>
      </c>
      <c r="E18">
        <v>0</v>
      </c>
      <c r="F18">
        <v>0</v>
      </c>
      <c r="G18" s="4" t="str">
        <f t="shared" si="0"/>
        <v/>
      </c>
      <c r="J18" s="4">
        <f>G83</f>
        <v>5635.8595799999994</v>
      </c>
      <c r="L18" s="4">
        <f>G151</f>
        <v>12990.822</v>
      </c>
    </row>
    <row r="19" spans="1:12" x14ac:dyDescent="0.2">
      <c r="A19">
        <v>17</v>
      </c>
      <c r="B19" t="s">
        <v>46</v>
      </c>
      <c r="C19">
        <v>1440.0519999999999</v>
      </c>
      <c r="D19">
        <v>7.5609999999999999</v>
      </c>
      <c r="E19">
        <v>10887.976000000001</v>
      </c>
      <c r="F19">
        <v>37668</v>
      </c>
      <c r="G19" s="4">
        <f t="shared" si="0"/>
        <v>10887.976000000001</v>
      </c>
      <c r="J19" s="4">
        <f>G85</f>
        <v>22703.226999999999</v>
      </c>
      <c r="K19" t="s">
        <v>55</v>
      </c>
      <c r="L19" s="4">
        <f>G153</f>
        <v>3491.1590000000001</v>
      </c>
    </row>
    <row r="20" spans="1:12" x14ac:dyDescent="0.2">
      <c r="A20">
        <v>18</v>
      </c>
      <c r="B20" t="s">
        <v>46</v>
      </c>
      <c r="C20">
        <v>23.702000000000002</v>
      </c>
      <c r="D20">
        <v>0</v>
      </c>
      <c r="E20">
        <v>0</v>
      </c>
      <c r="F20">
        <v>0</v>
      </c>
      <c r="G20" s="4" t="str">
        <f t="shared" si="0"/>
        <v/>
      </c>
      <c r="J20" s="4">
        <f>G87</f>
        <v>10586.669764</v>
      </c>
      <c r="L20" s="4">
        <f>G155</f>
        <v>6094.6806799999995</v>
      </c>
    </row>
    <row r="21" spans="1:12" x14ac:dyDescent="0.2">
      <c r="A21">
        <v>19</v>
      </c>
      <c r="B21" t="s">
        <v>46</v>
      </c>
      <c r="C21">
        <v>853.279</v>
      </c>
      <c r="D21">
        <v>7.18</v>
      </c>
      <c r="E21">
        <v>6126.4369999999999</v>
      </c>
      <c r="F21">
        <v>21195</v>
      </c>
      <c r="G21" s="4">
        <f t="shared" si="0"/>
        <v>6080.3599340000001</v>
      </c>
      <c r="J21" s="4">
        <f>G89</f>
        <v>10348.606</v>
      </c>
      <c r="L21" s="4">
        <f>G157</f>
        <v>687.65200000000004</v>
      </c>
    </row>
    <row r="22" spans="1:12" x14ac:dyDescent="0.2">
      <c r="A22">
        <v>20</v>
      </c>
      <c r="B22" t="s">
        <v>46</v>
      </c>
      <c r="C22">
        <v>16.187000000000001</v>
      </c>
      <c r="D22" s="9">
        <v>5.3999999999999999E-2</v>
      </c>
      <c r="E22">
        <v>0.86699999999999999</v>
      </c>
      <c r="F22">
        <v>3</v>
      </c>
      <c r="G22" s="4" t="str">
        <f t="shared" si="0"/>
        <v/>
      </c>
      <c r="J22" s="4">
        <f>G91</f>
        <v>7303.4530000000004</v>
      </c>
      <c r="L22" s="4">
        <f>G159</f>
        <v>311.59699999999998</v>
      </c>
    </row>
    <row r="23" spans="1:12" x14ac:dyDescent="0.2">
      <c r="A23">
        <v>21</v>
      </c>
      <c r="B23" t="s">
        <v>46</v>
      </c>
      <c r="C23">
        <v>1036.826</v>
      </c>
      <c r="D23">
        <v>9.8770000000000007</v>
      </c>
      <c r="E23">
        <v>10241.079</v>
      </c>
      <c r="F23">
        <v>35430</v>
      </c>
      <c r="G23" s="4">
        <f t="shared" si="0"/>
        <v>10234.858044000001</v>
      </c>
      <c r="J23" s="4">
        <f>G93</f>
        <v>6452.4870000000001</v>
      </c>
      <c r="L23" s="4">
        <f>G161</f>
        <v>6966.42</v>
      </c>
    </row>
    <row r="24" spans="1:12" x14ac:dyDescent="0.2">
      <c r="A24">
        <v>22</v>
      </c>
      <c r="B24" t="s">
        <v>46</v>
      </c>
      <c r="C24">
        <v>44.514000000000003</v>
      </c>
      <c r="D24">
        <v>6.0000000000000001E-3</v>
      </c>
      <c r="E24">
        <v>0.28899999999999998</v>
      </c>
      <c r="F24">
        <v>1</v>
      </c>
      <c r="G24" s="4" t="str">
        <f t="shared" si="0"/>
        <v/>
      </c>
      <c r="J24" s="4">
        <f>G95</f>
        <v>2881.5169859999996</v>
      </c>
      <c r="L24" s="4">
        <f>G163</f>
        <v>480.98099999999999</v>
      </c>
    </row>
    <row r="25" spans="1:12" x14ac:dyDescent="0.2">
      <c r="A25">
        <v>23</v>
      </c>
      <c r="B25" t="s">
        <v>46</v>
      </c>
      <c r="C25">
        <v>646.89599999999996</v>
      </c>
      <c r="D25">
        <v>3.0259999999999998</v>
      </c>
      <c r="E25">
        <v>1957.7429999999999</v>
      </c>
      <c r="F25">
        <v>6773</v>
      </c>
      <c r="G25" s="4">
        <f t="shared" si="0"/>
        <v>1957.7429999999999</v>
      </c>
      <c r="J25" s="4">
        <f>G97</f>
        <v>7079.2091399999999</v>
      </c>
      <c r="L25" s="4">
        <f>G165</f>
        <v>1255.9269999999999</v>
      </c>
    </row>
    <row r="26" spans="1:12" x14ac:dyDescent="0.2">
      <c r="A26">
        <v>24</v>
      </c>
      <c r="B26" t="s">
        <v>46</v>
      </c>
      <c r="C26">
        <v>40.466999999999999</v>
      </c>
      <c r="D26">
        <v>0</v>
      </c>
      <c r="E26">
        <v>0</v>
      </c>
      <c r="F26">
        <v>0</v>
      </c>
      <c r="G26" s="4" t="str">
        <f t="shared" si="0"/>
        <v/>
      </c>
      <c r="J26" s="4">
        <f>G99</f>
        <v>4126.4020099999998</v>
      </c>
      <c r="L26" s="4">
        <f>G167</f>
        <v>1309.4010000000001</v>
      </c>
    </row>
    <row r="27" spans="1:12" x14ac:dyDescent="0.2">
      <c r="A27" s="15">
        <v>1</v>
      </c>
      <c r="B27" s="15" t="s">
        <v>47</v>
      </c>
      <c r="C27" s="15">
        <v>720.60400000000004</v>
      </c>
      <c r="D27" s="15">
        <v>21.114999999999998</v>
      </c>
      <c r="E27" s="15">
        <v>15215.647999999999</v>
      </c>
      <c r="F27" s="15">
        <v>52640</v>
      </c>
      <c r="G27" s="16">
        <f t="shared" si="0"/>
        <v>15207.000752</v>
      </c>
      <c r="H27" s="15" t="s">
        <v>21</v>
      </c>
      <c r="J27" s="4">
        <f>G101</f>
        <v>10197.144</v>
      </c>
      <c r="K27" t="s">
        <v>49</v>
      </c>
      <c r="L27" s="4">
        <f>G41</f>
        <v>2523.4160000000002</v>
      </c>
    </row>
    <row r="28" spans="1:12" x14ac:dyDescent="0.2">
      <c r="A28">
        <v>2</v>
      </c>
      <c r="B28" t="s">
        <v>47</v>
      </c>
      <c r="C28">
        <v>46.536999999999999</v>
      </c>
      <c r="D28">
        <v>1.2E-2</v>
      </c>
      <c r="E28">
        <v>0.57799999999999996</v>
      </c>
      <c r="F28">
        <v>2</v>
      </c>
      <c r="G28" s="4" t="str">
        <f t="shared" si="0"/>
        <v/>
      </c>
      <c r="J28" s="4">
        <f>G103</f>
        <v>9873.5603880000017</v>
      </c>
      <c r="L28" s="4">
        <f>G43</f>
        <v>436.381595</v>
      </c>
    </row>
    <row r="29" spans="1:12" x14ac:dyDescent="0.2">
      <c r="A29">
        <v>3</v>
      </c>
      <c r="B29" t="s">
        <v>47</v>
      </c>
      <c r="C29">
        <v>711.35500000000002</v>
      </c>
      <c r="D29">
        <v>22.542999999999999</v>
      </c>
      <c r="E29">
        <v>16035.975</v>
      </c>
      <c r="F29">
        <v>55478</v>
      </c>
      <c r="G29" s="4">
        <f t="shared" si="0"/>
        <v>16029.572805</v>
      </c>
      <c r="J29" s="4">
        <f>G105</f>
        <v>10010.150895999999</v>
      </c>
      <c r="L29" s="4">
        <f>G45</f>
        <v>544.28300000000002</v>
      </c>
    </row>
    <row r="30" spans="1:12" x14ac:dyDescent="0.2">
      <c r="A30">
        <v>4</v>
      </c>
      <c r="B30" t="s">
        <v>47</v>
      </c>
      <c r="C30">
        <v>33.241</v>
      </c>
      <c r="D30">
        <v>8.9999999999999993E-3</v>
      </c>
      <c r="E30">
        <v>0.28899999999999998</v>
      </c>
      <c r="F30">
        <v>1</v>
      </c>
      <c r="G30" s="4" t="str">
        <f t="shared" si="0"/>
        <v/>
      </c>
      <c r="J30" s="4">
        <f>G107</f>
        <v>8744.0820939999994</v>
      </c>
      <c r="L30" s="4">
        <f>G47</f>
        <v>446.87299999999999</v>
      </c>
    </row>
    <row r="31" spans="1:12" x14ac:dyDescent="0.2">
      <c r="A31">
        <v>5</v>
      </c>
      <c r="B31" t="s">
        <v>47</v>
      </c>
      <c r="C31">
        <v>712.51099999999997</v>
      </c>
      <c r="D31">
        <v>25.108000000000001</v>
      </c>
      <c r="E31">
        <v>17889.949000000001</v>
      </c>
      <c r="F31">
        <v>61892</v>
      </c>
      <c r="G31" s="4">
        <f t="shared" si="0"/>
        <v>17884.248911999999</v>
      </c>
      <c r="J31" s="4">
        <f>G109</f>
        <v>13803.344999999999</v>
      </c>
      <c r="L31" s="4">
        <f>G49</f>
        <v>430.68599999999998</v>
      </c>
    </row>
    <row r="32" spans="1:12" x14ac:dyDescent="0.2">
      <c r="A32">
        <v>6</v>
      </c>
      <c r="B32" t="s">
        <v>47</v>
      </c>
      <c r="C32">
        <v>35.552999999999997</v>
      </c>
      <c r="D32">
        <v>8.0000000000000002E-3</v>
      </c>
      <c r="E32">
        <v>0.28899999999999998</v>
      </c>
      <c r="F32">
        <v>1</v>
      </c>
      <c r="G32" s="4" t="str">
        <f t="shared" si="0"/>
        <v/>
      </c>
      <c r="J32" s="4">
        <f>G111</f>
        <v>5103.8553400000001</v>
      </c>
      <c r="K32" t="s">
        <v>50</v>
      </c>
      <c r="L32" s="4">
        <f>G51</f>
        <v>3279.1214300000001</v>
      </c>
    </row>
    <row r="33" spans="1:12" x14ac:dyDescent="0.2">
      <c r="A33">
        <v>7</v>
      </c>
      <c r="B33" t="s">
        <v>47</v>
      </c>
      <c r="C33">
        <v>531.56500000000005</v>
      </c>
      <c r="D33">
        <v>16.337</v>
      </c>
      <c r="E33">
        <v>8683.9609999999993</v>
      </c>
      <c r="F33">
        <v>30043</v>
      </c>
      <c r="G33" s="4">
        <f t="shared" si="0"/>
        <v>8683.9609999999993</v>
      </c>
      <c r="I33" t="s">
        <v>53</v>
      </c>
      <c r="J33" s="4">
        <f>G113</f>
        <v>3455.027</v>
      </c>
      <c r="L33" s="4">
        <f>G53</f>
        <v>6101.29</v>
      </c>
    </row>
    <row r="34" spans="1:12" x14ac:dyDescent="0.2">
      <c r="A34">
        <v>8</v>
      </c>
      <c r="B34" t="s">
        <v>47</v>
      </c>
      <c r="C34">
        <v>38.155000000000001</v>
      </c>
      <c r="D34">
        <v>0</v>
      </c>
      <c r="E34">
        <v>0</v>
      </c>
      <c r="F34">
        <v>0</v>
      </c>
      <c r="G34" s="4" t="str">
        <f t="shared" si="0"/>
        <v/>
      </c>
      <c r="J34" s="4">
        <f>G115</f>
        <v>2752.8027770000003</v>
      </c>
      <c r="L34" s="4">
        <f>G55</f>
        <v>6651.2710690000004</v>
      </c>
    </row>
    <row r="35" spans="1:12" x14ac:dyDescent="0.2">
      <c r="A35">
        <v>9</v>
      </c>
      <c r="B35" t="s">
        <v>47</v>
      </c>
      <c r="C35">
        <v>222.56899999999999</v>
      </c>
      <c r="D35">
        <v>10.169</v>
      </c>
      <c r="E35">
        <v>2263.27</v>
      </c>
      <c r="F35">
        <v>7830</v>
      </c>
      <c r="G35" s="4">
        <f t="shared" si="0"/>
        <v>2250.1384290000001</v>
      </c>
      <c r="J35" s="4">
        <f>G117</f>
        <v>12403.47</v>
      </c>
      <c r="L35" s="4">
        <f>G57</f>
        <v>7809.2929999999997</v>
      </c>
    </row>
    <row r="36" spans="1:12" x14ac:dyDescent="0.2">
      <c r="A36">
        <v>10</v>
      </c>
      <c r="B36" t="s">
        <v>47</v>
      </c>
      <c r="C36">
        <v>4.9139999999999997</v>
      </c>
      <c r="D36">
        <v>5.8999999999999997E-2</v>
      </c>
      <c r="E36">
        <v>0.28899999999999998</v>
      </c>
      <c r="F36">
        <v>1</v>
      </c>
      <c r="G36" s="4" t="str">
        <f t="shared" si="0"/>
        <v/>
      </c>
      <c r="J36" s="4">
        <f>G119</f>
        <v>10265.36</v>
      </c>
      <c r="L36" s="4">
        <f>G59</f>
        <v>5313.0479999999998</v>
      </c>
    </row>
    <row r="37" spans="1:12" x14ac:dyDescent="0.2">
      <c r="A37">
        <v>11</v>
      </c>
      <c r="B37" t="s">
        <v>47</v>
      </c>
      <c r="C37">
        <v>731.87699999999995</v>
      </c>
      <c r="D37">
        <v>18.664000000000001</v>
      </c>
      <c r="E37">
        <v>13659.686</v>
      </c>
      <c r="F37">
        <v>47257</v>
      </c>
      <c r="G37" s="4">
        <f t="shared" si="0"/>
        <v>13659.686</v>
      </c>
      <c r="J37" s="4">
        <f>G121</f>
        <v>346.572</v>
      </c>
      <c r="L37" s="4">
        <f>G61</f>
        <v>5905.6019999999999</v>
      </c>
    </row>
    <row r="38" spans="1:12" x14ac:dyDescent="0.2">
      <c r="A38">
        <v>12</v>
      </c>
      <c r="B38" t="s">
        <v>47</v>
      </c>
      <c r="C38">
        <v>34.396999999999998</v>
      </c>
      <c r="D38">
        <v>0</v>
      </c>
      <c r="E38">
        <v>0</v>
      </c>
      <c r="F38">
        <v>0</v>
      </c>
      <c r="G38" s="4" t="str">
        <f t="shared" si="0"/>
        <v/>
      </c>
      <c r="J38" s="4">
        <f>G123</f>
        <v>2932.467701</v>
      </c>
      <c r="L38" s="4">
        <f>G63</f>
        <v>6488.9070000000002</v>
      </c>
    </row>
    <row r="39" spans="1:12" x14ac:dyDescent="0.2">
      <c r="A39" s="15">
        <v>1</v>
      </c>
      <c r="B39" s="15" t="s">
        <v>48</v>
      </c>
      <c r="C39" s="15">
        <v>700.66</v>
      </c>
      <c r="D39" s="15">
        <v>12.413</v>
      </c>
      <c r="E39" s="15">
        <v>8697.5470000000005</v>
      </c>
      <c r="F39" s="15">
        <v>30090</v>
      </c>
      <c r="G39" s="16">
        <f t="shared" si="0"/>
        <v>8691.2410600000003</v>
      </c>
      <c r="H39" s="15" t="s">
        <v>21</v>
      </c>
      <c r="I39" t="s">
        <v>47</v>
      </c>
      <c r="J39" s="4">
        <f>G27</f>
        <v>15207.000752</v>
      </c>
      <c r="K39" t="s">
        <v>51</v>
      </c>
      <c r="L39" s="4">
        <f>G65</f>
        <v>1994.163</v>
      </c>
    </row>
    <row r="40" spans="1:12" x14ac:dyDescent="0.2">
      <c r="A40">
        <v>2</v>
      </c>
      <c r="B40" t="s">
        <v>48</v>
      </c>
      <c r="C40">
        <v>30.928000000000001</v>
      </c>
      <c r="D40">
        <v>8.9999999999999993E-3</v>
      </c>
      <c r="E40">
        <v>0.28899999999999998</v>
      </c>
      <c r="F40">
        <v>1</v>
      </c>
      <c r="G40" s="4" t="str">
        <f t="shared" si="0"/>
        <v/>
      </c>
      <c r="J40" s="4">
        <f>G29</f>
        <v>16029.572805</v>
      </c>
      <c r="L40" s="4">
        <f>G67</f>
        <v>6687.4859999999999</v>
      </c>
    </row>
    <row r="41" spans="1:12" x14ac:dyDescent="0.2">
      <c r="A41" s="15">
        <v>1</v>
      </c>
      <c r="B41" s="15" t="s">
        <v>49</v>
      </c>
      <c r="C41" s="15">
        <v>606.42899999999997</v>
      </c>
      <c r="D41" s="15">
        <v>4.1609999999999996</v>
      </c>
      <c r="E41" s="15">
        <v>2523.4160000000002</v>
      </c>
      <c r="F41" s="15">
        <v>8730</v>
      </c>
      <c r="G41" s="16">
        <f t="shared" si="0"/>
        <v>2523.4160000000002</v>
      </c>
      <c r="H41" s="15" t="s">
        <v>20</v>
      </c>
      <c r="J41" s="4">
        <f>G31</f>
        <v>17884.248911999999</v>
      </c>
      <c r="L41" s="4">
        <f>G69</f>
        <v>9348.1948759999996</v>
      </c>
    </row>
    <row r="42" spans="1:12" x14ac:dyDescent="0.2">
      <c r="A42">
        <v>2</v>
      </c>
      <c r="B42" t="s">
        <v>49</v>
      </c>
      <c r="C42">
        <v>23.413</v>
      </c>
      <c r="D42">
        <v>0</v>
      </c>
      <c r="E42">
        <v>0</v>
      </c>
      <c r="F42">
        <v>0</v>
      </c>
      <c r="G42" s="4" t="str">
        <f t="shared" si="0"/>
        <v/>
      </c>
      <c r="J42" s="4">
        <f>G33</f>
        <v>8683.9609999999993</v>
      </c>
      <c r="L42" s="4">
        <f>G71</f>
        <v>1265.84456</v>
      </c>
    </row>
    <row r="43" spans="1:12" x14ac:dyDescent="0.2">
      <c r="A43">
        <v>3</v>
      </c>
      <c r="B43" t="s">
        <v>49</v>
      </c>
      <c r="C43">
        <v>296.85500000000002</v>
      </c>
      <c r="D43">
        <v>1.4810000000000001</v>
      </c>
      <c r="E43">
        <v>439.64699999999999</v>
      </c>
      <c r="F43">
        <v>1521</v>
      </c>
      <c r="G43" s="4">
        <f t="shared" si="0"/>
        <v>436.381595</v>
      </c>
      <c r="J43" s="4">
        <f>G35</f>
        <v>2250.1384290000001</v>
      </c>
      <c r="L43" s="4">
        <f>G73</f>
        <v>4469.0190000000002</v>
      </c>
    </row>
    <row r="44" spans="1:12" x14ac:dyDescent="0.2">
      <c r="A44">
        <v>4</v>
      </c>
      <c r="B44" t="s">
        <v>49</v>
      </c>
      <c r="C44">
        <v>25.146999999999998</v>
      </c>
      <c r="D44">
        <v>1.0999999999999999E-2</v>
      </c>
      <c r="E44">
        <v>0.28899999999999998</v>
      </c>
      <c r="F44">
        <v>1</v>
      </c>
      <c r="G44" s="4" t="str">
        <f t="shared" si="0"/>
        <v/>
      </c>
      <c r="J44" s="4">
        <f>G37</f>
        <v>13659.686</v>
      </c>
      <c r="L44" s="4">
        <f>G75</f>
        <v>9121.221379999999</v>
      </c>
    </row>
    <row r="45" spans="1:12" x14ac:dyDescent="0.2">
      <c r="A45">
        <v>5</v>
      </c>
      <c r="B45" t="s">
        <v>49</v>
      </c>
      <c r="C45">
        <v>644.58399999999995</v>
      </c>
      <c r="D45">
        <v>0.84399999999999997</v>
      </c>
      <c r="E45">
        <v>544.28300000000002</v>
      </c>
      <c r="F45">
        <v>1883</v>
      </c>
      <c r="G45" s="4">
        <f t="shared" si="0"/>
        <v>544.28300000000002</v>
      </c>
      <c r="I45" t="s">
        <v>48</v>
      </c>
      <c r="J45" s="4">
        <f>G39</f>
        <v>8691.2410600000003</v>
      </c>
      <c r="L45" s="4">
        <f>G77</f>
        <v>9301.2998239999997</v>
      </c>
    </row>
    <row r="46" spans="1:12" x14ac:dyDescent="0.2">
      <c r="A46">
        <v>6</v>
      </c>
      <c r="B46" t="s">
        <v>49</v>
      </c>
      <c r="C46">
        <v>45.381</v>
      </c>
      <c r="D46">
        <v>0</v>
      </c>
      <c r="E46">
        <v>0</v>
      </c>
      <c r="F46">
        <v>0</v>
      </c>
      <c r="G46" s="4" t="str">
        <f t="shared" si="0"/>
        <v/>
      </c>
      <c r="L46" s="4">
        <f>G79</f>
        <v>10936.246999999999</v>
      </c>
    </row>
    <row r="47" spans="1:12" x14ac:dyDescent="0.2">
      <c r="A47">
        <v>7</v>
      </c>
      <c r="B47" t="s">
        <v>49</v>
      </c>
      <c r="C47">
        <v>480.40300000000002</v>
      </c>
      <c r="D47">
        <v>0.93</v>
      </c>
      <c r="E47">
        <v>446.87299999999999</v>
      </c>
      <c r="F47">
        <v>1546</v>
      </c>
      <c r="G47" s="4">
        <f t="shared" si="0"/>
        <v>446.87299999999999</v>
      </c>
      <c r="L47" s="4"/>
    </row>
    <row r="48" spans="1:12" x14ac:dyDescent="0.2">
      <c r="A48">
        <v>8</v>
      </c>
      <c r="B48" t="s">
        <v>49</v>
      </c>
      <c r="C48">
        <v>61.856999999999999</v>
      </c>
      <c r="D48">
        <v>0</v>
      </c>
      <c r="E48">
        <v>0</v>
      </c>
      <c r="F48">
        <v>0</v>
      </c>
      <c r="G48" s="4" t="str">
        <f t="shared" si="0"/>
        <v/>
      </c>
      <c r="L48" s="4"/>
    </row>
    <row r="49" spans="1:12" x14ac:dyDescent="0.2">
      <c r="A49">
        <v>9</v>
      </c>
      <c r="B49" t="s">
        <v>49</v>
      </c>
      <c r="C49">
        <v>1548.1579999999999</v>
      </c>
      <c r="D49">
        <v>0.27800000000000002</v>
      </c>
      <c r="E49">
        <v>430.68599999999998</v>
      </c>
      <c r="F49">
        <v>1490</v>
      </c>
      <c r="G49" s="4">
        <f t="shared" si="0"/>
        <v>430.68599999999998</v>
      </c>
      <c r="L49" s="4"/>
    </row>
    <row r="50" spans="1:12" x14ac:dyDescent="0.2">
      <c r="A50">
        <v>10</v>
      </c>
      <c r="B50" t="s">
        <v>49</v>
      </c>
      <c r="C50">
        <v>31.795999999999999</v>
      </c>
      <c r="D50">
        <v>0</v>
      </c>
      <c r="E50">
        <v>0</v>
      </c>
      <c r="F50">
        <v>0</v>
      </c>
      <c r="G50" s="4" t="str">
        <f t="shared" si="0"/>
        <v/>
      </c>
      <c r="L50" s="4"/>
    </row>
    <row r="51" spans="1:12" x14ac:dyDescent="0.2">
      <c r="A51" s="15">
        <v>1</v>
      </c>
      <c r="B51" s="15" t="s">
        <v>50</v>
      </c>
      <c r="C51" s="15">
        <v>321.714</v>
      </c>
      <c r="D51" s="15">
        <v>10.198</v>
      </c>
      <c r="E51" s="15">
        <v>3280.73</v>
      </c>
      <c r="F51" s="15">
        <v>11350</v>
      </c>
      <c r="G51" s="16">
        <f t="shared" si="0"/>
        <v>3279.1214300000001</v>
      </c>
      <c r="H51" s="15" t="s">
        <v>20</v>
      </c>
      <c r="L51" s="4"/>
    </row>
    <row r="52" spans="1:12" x14ac:dyDescent="0.2">
      <c r="A52">
        <v>2</v>
      </c>
      <c r="B52" t="s">
        <v>50</v>
      </c>
      <c r="C52">
        <v>63.88</v>
      </c>
      <c r="D52">
        <v>5.0000000000000001E-3</v>
      </c>
      <c r="E52">
        <v>0.28899999999999998</v>
      </c>
      <c r="F52">
        <v>1</v>
      </c>
      <c r="G52" s="4" t="str">
        <f t="shared" si="0"/>
        <v/>
      </c>
      <c r="L52" s="4"/>
    </row>
    <row r="53" spans="1:12" x14ac:dyDescent="0.2">
      <c r="A53">
        <v>3</v>
      </c>
      <c r="B53" t="s">
        <v>50</v>
      </c>
      <c r="C53">
        <v>531.56500000000005</v>
      </c>
      <c r="D53">
        <v>11.478</v>
      </c>
      <c r="E53">
        <v>6101.29</v>
      </c>
      <c r="F53">
        <v>21108</v>
      </c>
      <c r="G53" s="4">
        <f t="shared" si="0"/>
        <v>6101.29</v>
      </c>
      <c r="L53" s="4"/>
    </row>
    <row r="54" spans="1:12" x14ac:dyDescent="0.2">
      <c r="A54">
        <v>4</v>
      </c>
      <c r="B54" t="s">
        <v>50</v>
      </c>
      <c r="C54">
        <v>11.851000000000001</v>
      </c>
      <c r="D54">
        <v>0</v>
      </c>
      <c r="E54">
        <v>0</v>
      </c>
      <c r="F54">
        <v>0</v>
      </c>
      <c r="G54" s="4" t="str">
        <f t="shared" si="0"/>
        <v/>
      </c>
      <c r="L54" s="4"/>
    </row>
    <row r="55" spans="1:12" x14ac:dyDescent="0.2">
      <c r="A55">
        <v>5</v>
      </c>
      <c r="B55" t="s">
        <v>50</v>
      </c>
      <c r="C55">
        <v>387.90699999999998</v>
      </c>
      <c r="D55">
        <v>17.18</v>
      </c>
      <c r="E55">
        <v>6664.0720000000001</v>
      </c>
      <c r="F55">
        <v>23055</v>
      </c>
      <c r="G55" s="4">
        <f t="shared" si="0"/>
        <v>6651.2710690000004</v>
      </c>
      <c r="L55" s="4"/>
    </row>
    <row r="56" spans="1:12" x14ac:dyDescent="0.2">
      <c r="A56">
        <v>6</v>
      </c>
      <c r="B56" t="s">
        <v>50</v>
      </c>
      <c r="C56">
        <v>8.6720000000000006</v>
      </c>
      <c r="D56">
        <v>3.3000000000000002E-2</v>
      </c>
      <c r="E56">
        <v>0.28899999999999998</v>
      </c>
      <c r="F56">
        <v>1</v>
      </c>
      <c r="G56" s="4" t="str">
        <f t="shared" si="0"/>
        <v/>
      </c>
      <c r="L56" s="4"/>
    </row>
    <row r="57" spans="1:12" x14ac:dyDescent="0.2">
      <c r="A57">
        <v>7</v>
      </c>
      <c r="B57" t="s">
        <v>50</v>
      </c>
      <c r="C57">
        <v>647.47400000000005</v>
      </c>
      <c r="D57">
        <v>12.061</v>
      </c>
      <c r="E57">
        <v>7809.2929999999997</v>
      </c>
      <c r="F57">
        <v>27017</v>
      </c>
      <c r="G57" s="4">
        <f t="shared" si="0"/>
        <v>7809.2929999999997</v>
      </c>
      <c r="L57" s="4"/>
    </row>
    <row r="58" spans="1:12" x14ac:dyDescent="0.2">
      <c r="A58">
        <v>8</v>
      </c>
      <c r="B58" t="s">
        <v>50</v>
      </c>
      <c r="C58">
        <v>11.851000000000001</v>
      </c>
      <c r="D58">
        <v>0</v>
      </c>
      <c r="E58">
        <v>0</v>
      </c>
      <c r="F58">
        <v>0</v>
      </c>
      <c r="G58" s="4" t="str">
        <f t="shared" si="0"/>
        <v/>
      </c>
      <c r="L58" s="4"/>
    </row>
    <row r="59" spans="1:12" x14ac:dyDescent="0.2">
      <c r="A59">
        <v>9</v>
      </c>
      <c r="B59" t="s">
        <v>50</v>
      </c>
      <c r="C59">
        <v>798.93700000000001</v>
      </c>
      <c r="D59">
        <v>6.65</v>
      </c>
      <c r="E59">
        <v>5313.0479999999998</v>
      </c>
      <c r="F59">
        <v>18381</v>
      </c>
      <c r="G59" s="4">
        <f t="shared" si="0"/>
        <v>5313.0479999999998</v>
      </c>
      <c r="L59" s="4" t="str">
        <f>G92</f>
        <v/>
      </c>
    </row>
    <row r="60" spans="1:12" x14ac:dyDescent="0.2">
      <c r="A60">
        <v>10</v>
      </c>
      <c r="B60" t="s">
        <v>50</v>
      </c>
      <c r="C60">
        <v>26.882000000000001</v>
      </c>
      <c r="D60">
        <v>0</v>
      </c>
      <c r="E60">
        <v>0</v>
      </c>
      <c r="F60">
        <v>0</v>
      </c>
      <c r="G60" s="4" t="str">
        <f t="shared" si="0"/>
        <v/>
      </c>
    </row>
    <row r="61" spans="1:12" x14ac:dyDescent="0.2">
      <c r="A61">
        <v>11</v>
      </c>
      <c r="B61" t="s">
        <v>50</v>
      </c>
      <c r="C61">
        <v>385.01600000000002</v>
      </c>
      <c r="D61">
        <v>15.339</v>
      </c>
      <c r="E61">
        <v>5905.6019999999999</v>
      </c>
      <c r="F61">
        <v>20431</v>
      </c>
      <c r="G61" s="4">
        <f t="shared" si="0"/>
        <v>5905.6019999999999</v>
      </c>
      <c r="J61" s="4"/>
    </row>
    <row r="62" spans="1:12" x14ac:dyDescent="0.2">
      <c r="A62">
        <v>12</v>
      </c>
      <c r="B62" t="s">
        <v>50</v>
      </c>
      <c r="C62">
        <v>2.601</v>
      </c>
      <c r="D62">
        <v>0</v>
      </c>
      <c r="E62">
        <v>0</v>
      </c>
      <c r="F62">
        <v>0</v>
      </c>
      <c r="G62" s="4" t="str">
        <f t="shared" si="0"/>
        <v/>
      </c>
      <c r="J62" s="4"/>
    </row>
    <row r="63" spans="1:12" x14ac:dyDescent="0.2">
      <c r="A63">
        <v>13</v>
      </c>
      <c r="B63" t="s">
        <v>50</v>
      </c>
      <c r="C63">
        <v>422.88200000000001</v>
      </c>
      <c r="D63">
        <v>15.343999999999999</v>
      </c>
      <c r="E63">
        <v>6488.9070000000002</v>
      </c>
      <c r="F63">
        <v>22449</v>
      </c>
      <c r="G63" s="4">
        <f t="shared" si="0"/>
        <v>6488.9070000000002</v>
      </c>
      <c r="J63" s="4"/>
    </row>
    <row r="64" spans="1:12" x14ac:dyDescent="0.2">
      <c r="A64">
        <v>14</v>
      </c>
      <c r="B64" t="s">
        <v>50</v>
      </c>
      <c r="C64">
        <v>5.492</v>
      </c>
      <c r="D64">
        <v>0</v>
      </c>
      <c r="E64">
        <v>0</v>
      </c>
      <c r="F64">
        <v>0</v>
      </c>
      <c r="G64" s="4" t="str">
        <f t="shared" si="0"/>
        <v/>
      </c>
      <c r="J64" s="4"/>
    </row>
    <row r="65" spans="1:10" x14ac:dyDescent="0.2">
      <c r="A65" s="15">
        <v>1</v>
      </c>
      <c r="B65" s="15" t="s">
        <v>51</v>
      </c>
      <c r="C65" s="15">
        <v>522.89300000000003</v>
      </c>
      <c r="D65" s="15">
        <v>3.8140000000000001</v>
      </c>
      <c r="E65" s="15">
        <v>1994.163</v>
      </c>
      <c r="F65" s="15">
        <v>6899</v>
      </c>
      <c r="G65" s="16">
        <f t="shared" si="0"/>
        <v>1994.163</v>
      </c>
      <c r="H65" s="15" t="s">
        <v>20</v>
      </c>
      <c r="J65" s="4"/>
    </row>
    <row r="66" spans="1:10" x14ac:dyDescent="0.2">
      <c r="A66">
        <v>2</v>
      </c>
      <c r="B66" t="s">
        <v>51</v>
      </c>
      <c r="C66">
        <v>8.9610000000000003</v>
      </c>
      <c r="D66">
        <v>0</v>
      </c>
      <c r="E66">
        <v>0</v>
      </c>
      <c r="F66">
        <v>0</v>
      </c>
      <c r="G66" s="4" t="str">
        <f t="shared" si="0"/>
        <v/>
      </c>
      <c r="J66" s="4"/>
    </row>
    <row r="67" spans="1:10" x14ac:dyDescent="0.2">
      <c r="A67">
        <v>3</v>
      </c>
      <c r="B67" t="s">
        <v>51</v>
      </c>
      <c r="C67">
        <v>896.05799999999999</v>
      </c>
      <c r="D67">
        <v>7.4630000000000001</v>
      </c>
      <c r="E67">
        <v>6687.4859999999999</v>
      </c>
      <c r="F67">
        <v>23136</v>
      </c>
      <c r="G67" s="4">
        <f t="shared" si="0"/>
        <v>6687.4859999999999</v>
      </c>
      <c r="J67" s="4"/>
    </row>
    <row r="68" spans="1:10" x14ac:dyDescent="0.2">
      <c r="A68">
        <v>4</v>
      </c>
      <c r="B68" t="s">
        <v>51</v>
      </c>
      <c r="C68">
        <v>25.146999999999998</v>
      </c>
      <c r="D68">
        <v>0</v>
      </c>
      <c r="E68">
        <v>0</v>
      </c>
      <c r="F68">
        <v>0</v>
      </c>
      <c r="G68" s="4" t="str">
        <f t="shared" si="0"/>
        <v/>
      </c>
      <c r="J68" s="4"/>
    </row>
    <row r="69" spans="1:10" x14ac:dyDescent="0.2">
      <c r="A69">
        <v>5</v>
      </c>
      <c r="B69" t="s">
        <v>51</v>
      </c>
      <c r="C69">
        <v>689.38699999999994</v>
      </c>
      <c r="D69">
        <v>13.612</v>
      </c>
      <c r="E69">
        <v>9384.0429999999997</v>
      </c>
      <c r="F69">
        <v>32465</v>
      </c>
      <c r="G69" s="4">
        <f t="shared" si="0"/>
        <v>9348.1948759999996</v>
      </c>
      <c r="J69" s="4"/>
    </row>
    <row r="70" spans="1:10" x14ac:dyDescent="0.2">
      <c r="A70">
        <v>6</v>
      </c>
      <c r="B70" t="s">
        <v>51</v>
      </c>
      <c r="C70">
        <v>22.257000000000001</v>
      </c>
      <c r="D70">
        <v>5.1999999999999998E-2</v>
      </c>
      <c r="E70">
        <v>1.1559999999999999</v>
      </c>
      <c r="F70">
        <v>4</v>
      </c>
      <c r="G70" s="4" t="str">
        <f t="shared" si="0"/>
        <v/>
      </c>
      <c r="J70" s="4"/>
    </row>
    <row r="71" spans="1:10" x14ac:dyDescent="0.2">
      <c r="A71">
        <v>7</v>
      </c>
      <c r="B71" t="s">
        <v>51</v>
      </c>
      <c r="C71">
        <v>819.46</v>
      </c>
      <c r="D71">
        <v>1.5589999999999999</v>
      </c>
      <c r="E71">
        <v>1277.317</v>
      </c>
      <c r="F71">
        <v>4419</v>
      </c>
      <c r="G71" s="4">
        <f t="shared" si="0"/>
        <v>1265.84456</v>
      </c>
      <c r="J71" s="4"/>
    </row>
    <row r="72" spans="1:10" x14ac:dyDescent="0.2">
      <c r="A72">
        <v>8</v>
      </c>
      <c r="B72" t="s">
        <v>51</v>
      </c>
      <c r="C72">
        <v>20.523</v>
      </c>
      <c r="D72">
        <v>1.4E-2</v>
      </c>
      <c r="E72">
        <v>0.28899999999999998</v>
      </c>
      <c r="F72">
        <v>1</v>
      </c>
      <c r="G72" s="4" t="str">
        <f t="shared" si="0"/>
        <v/>
      </c>
      <c r="J72" s="4"/>
    </row>
    <row r="73" spans="1:10" x14ac:dyDescent="0.2">
      <c r="A73">
        <v>9</v>
      </c>
      <c r="B73" t="s">
        <v>51</v>
      </c>
      <c r="C73">
        <v>974.39099999999996</v>
      </c>
      <c r="D73">
        <v>4.5860000000000003</v>
      </c>
      <c r="E73">
        <v>4469.0190000000002</v>
      </c>
      <c r="F73">
        <v>15461</v>
      </c>
      <c r="G73" s="4">
        <f t="shared" si="0"/>
        <v>4469.0190000000002</v>
      </c>
      <c r="J73" s="4"/>
    </row>
    <row r="74" spans="1:10" x14ac:dyDescent="0.2">
      <c r="A74">
        <v>10</v>
      </c>
      <c r="B74" t="s">
        <v>51</v>
      </c>
      <c r="C74">
        <v>24.28</v>
      </c>
      <c r="D74">
        <v>0</v>
      </c>
      <c r="E74">
        <v>0</v>
      </c>
      <c r="F74">
        <v>0</v>
      </c>
      <c r="G74" s="4" t="str">
        <f t="shared" si="0"/>
        <v/>
      </c>
      <c r="J74" s="4"/>
    </row>
    <row r="75" spans="1:10" x14ac:dyDescent="0.2">
      <c r="A75">
        <v>11</v>
      </c>
      <c r="B75" t="s">
        <v>51</v>
      </c>
      <c r="C75">
        <v>1096.6600000000001</v>
      </c>
      <c r="D75">
        <v>8.3740000000000006</v>
      </c>
      <c r="E75">
        <v>9183.7309999999998</v>
      </c>
      <c r="F75">
        <v>31772</v>
      </c>
      <c r="G75" s="4">
        <f t="shared" si="0"/>
        <v>9121.221379999999</v>
      </c>
      <c r="J75" s="4"/>
    </row>
    <row r="76" spans="1:10" x14ac:dyDescent="0.2">
      <c r="A76">
        <v>12</v>
      </c>
      <c r="B76" t="s">
        <v>51</v>
      </c>
      <c r="C76">
        <v>10.117000000000001</v>
      </c>
      <c r="D76">
        <v>5.7000000000000002E-2</v>
      </c>
      <c r="E76">
        <v>0.57799999999999996</v>
      </c>
      <c r="F76">
        <v>2</v>
      </c>
      <c r="G76" s="4" t="str">
        <f t="shared" si="0"/>
        <v/>
      </c>
      <c r="J76" s="4"/>
    </row>
    <row r="77" spans="1:10" x14ac:dyDescent="0.2">
      <c r="A77">
        <v>13</v>
      </c>
      <c r="B77" t="s">
        <v>51</v>
      </c>
      <c r="C77">
        <v>979.01599999999996</v>
      </c>
      <c r="D77">
        <v>9.5120000000000005</v>
      </c>
      <c r="E77">
        <v>9312.0689999999995</v>
      </c>
      <c r="F77">
        <v>32216</v>
      </c>
      <c r="G77" s="4">
        <f t="shared" si="0"/>
        <v>9301.2998239999997</v>
      </c>
      <c r="J77" s="4"/>
    </row>
    <row r="78" spans="1:10" x14ac:dyDescent="0.2">
      <c r="A78">
        <v>14</v>
      </c>
      <c r="B78" t="s">
        <v>51</v>
      </c>
      <c r="C78">
        <v>26.882000000000001</v>
      </c>
      <c r="D78">
        <v>1.0999999999999999E-2</v>
      </c>
      <c r="E78">
        <v>0.28899999999999998</v>
      </c>
      <c r="F78">
        <v>1</v>
      </c>
      <c r="G78" s="4" t="str">
        <f t="shared" si="0"/>
        <v/>
      </c>
      <c r="J78" s="4"/>
    </row>
    <row r="79" spans="1:10" x14ac:dyDescent="0.2">
      <c r="A79">
        <v>15</v>
      </c>
      <c r="B79" t="s">
        <v>51</v>
      </c>
      <c r="C79">
        <v>1041.451</v>
      </c>
      <c r="D79">
        <v>10.500999999999999</v>
      </c>
      <c r="E79">
        <v>10936.246999999999</v>
      </c>
      <c r="F79">
        <v>37835</v>
      </c>
      <c r="G79" s="4">
        <f t="shared" si="0"/>
        <v>10936.246999999999</v>
      </c>
      <c r="J79" s="4"/>
    </row>
    <row r="80" spans="1:10" x14ac:dyDescent="0.2">
      <c r="A80">
        <v>16</v>
      </c>
      <c r="B80" t="s">
        <v>51</v>
      </c>
      <c r="C80">
        <v>10.695</v>
      </c>
      <c r="D80">
        <v>0</v>
      </c>
      <c r="E80">
        <v>0</v>
      </c>
      <c r="F80">
        <v>0</v>
      </c>
      <c r="G80" s="4"/>
      <c r="J80" s="4"/>
    </row>
    <row r="81" spans="1:10" x14ac:dyDescent="0.2">
      <c r="A81" s="17">
        <v>1</v>
      </c>
      <c r="B81" s="19" t="s">
        <v>52</v>
      </c>
      <c r="C81" s="17">
        <v>835.35799999999995</v>
      </c>
      <c r="D81" s="17">
        <v>21.388000000000002</v>
      </c>
      <c r="E81" s="17">
        <v>17866.825000000001</v>
      </c>
      <c r="F81" s="17">
        <v>61812</v>
      </c>
      <c r="G81" s="18">
        <f t="shared" ref="G81:G168" si="1">IF(MOD(A81,2)&gt;0, E81-(C81*D82), "")</f>
        <v>17866.825000000001</v>
      </c>
      <c r="H81" s="15" t="s">
        <v>21</v>
      </c>
      <c r="J81" s="4"/>
    </row>
    <row r="82" spans="1:10" x14ac:dyDescent="0.2">
      <c r="A82" s="11">
        <v>2</v>
      </c>
      <c r="B82" s="12" t="s">
        <v>52</v>
      </c>
      <c r="C82" s="11">
        <v>32.374000000000002</v>
      </c>
      <c r="D82" s="11">
        <v>0</v>
      </c>
      <c r="E82" s="11">
        <v>0</v>
      </c>
      <c r="F82" s="11">
        <v>0</v>
      </c>
      <c r="G82" s="13" t="str">
        <f t="shared" si="1"/>
        <v/>
      </c>
      <c r="J82" s="4"/>
    </row>
    <row r="83" spans="1:10" x14ac:dyDescent="0.2">
      <c r="A83" s="11">
        <v>3</v>
      </c>
      <c r="B83" s="12" t="s">
        <v>52</v>
      </c>
      <c r="C83" s="11">
        <v>592.55499999999995</v>
      </c>
      <c r="D83" s="11">
        <v>9.5549999999999997</v>
      </c>
      <c r="E83" s="11">
        <v>5661.9319999999998</v>
      </c>
      <c r="F83" s="11">
        <v>19588</v>
      </c>
      <c r="G83" s="13">
        <f t="shared" si="1"/>
        <v>5635.8595799999994</v>
      </c>
      <c r="J83" s="4"/>
    </row>
    <row r="84" spans="1:10" x14ac:dyDescent="0.2">
      <c r="A84" s="11">
        <v>4</v>
      </c>
      <c r="B84" s="12" t="s">
        <v>52</v>
      </c>
      <c r="C84" s="11">
        <v>26.303999999999998</v>
      </c>
      <c r="D84" s="14">
        <v>4.3999999999999997E-2</v>
      </c>
      <c r="E84" s="11">
        <v>1.1559999999999999</v>
      </c>
      <c r="F84" s="11">
        <v>4</v>
      </c>
      <c r="G84" s="13" t="str">
        <f t="shared" si="1"/>
        <v/>
      </c>
      <c r="J84" s="4"/>
    </row>
    <row r="85" spans="1:10" x14ac:dyDescent="0.2">
      <c r="A85" s="11">
        <v>5</v>
      </c>
      <c r="B85" s="12" t="s">
        <v>52</v>
      </c>
      <c r="C85" s="11">
        <v>1506.5340000000001</v>
      </c>
      <c r="D85" s="11">
        <v>15.07</v>
      </c>
      <c r="E85" s="11">
        <v>22703.226999999999</v>
      </c>
      <c r="F85" s="11">
        <v>78544</v>
      </c>
      <c r="G85" s="13">
        <f t="shared" si="1"/>
        <v>22703.226999999999</v>
      </c>
      <c r="J85" s="4"/>
    </row>
    <row r="86" spans="1:10" x14ac:dyDescent="0.2">
      <c r="A86" s="11">
        <v>6</v>
      </c>
      <c r="B86" s="12" t="s">
        <v>52</v>
      </c>
      <c r="C86" s="11">
        <v>38.155000000000001</v>
      </c>
      <c r="D86" s="14">
        <v>0</v>
      </c>
      <c r="E86" s="11">
        <v>0</v>
      </c>
      <c r="F86" s="11">
        <v>0</v>
      </c>
      <c r="G86" s="13" t="str">
        <f t="shared" si="1"/>
        <v/>
      </c>
      <c r="J86" s="4"/>
    </row>
    <row r="87" spans="1:10" x14ac:dyDescent="0.2">
      <c r="A87" s="11">
        <v>7</v>
      </c>
      <c r="B87" s="12" t="s">
        <v>52</v>
      </c>
      <c r="C87" s="11">
        <v>667.41899999999998</v>
      </c>
      <c r="D87" s="11">
        <v>16.106000000000002</v>
      </c>
      <c r="E87" s="11">
        <v>10749.52</v>
      </c>
      <c r="F87" s="11">
        <v>37189</v>
      </c>
      <c r="G87" s="13">
        <f t="shared" si="1"/>
        <v>10586.669764</v>
      </c>
      <c r="J87" s="4"/>
    </row>
    <row r="88" spans="1:10" x14ac:dyDescent="0.2">
      <c r="A88" s="11">
        <v>8</v>
      </c>
      <c r="B88" s="12" t="s">
        <v>52</v>
      </c>
      <c r="C88" s="11">
        <v>13.007</v>
      </c>
      <c r="D88" s="14">
        <v>0.24399999999999999</v>
      </c>
      <c r="E88" s="11">
        <v>3.18</v>
      </c>
      <c r="F88" s="11">
        <v>11</v>
      </c>
      <c r="G88" s="13" t="str">
        <f t="shared" si="1"/>
        <v/>
      </c>
      <c r="J88" s="4"/>
    </row>
    <row r="89" spans="1:10" x14ac:dyDescent="0.2">
      <c r="A89" s="11">
        <v>9</v>
      </c>
      <c r="B89" s="12" t="s">
        <v>52</v>
      </c>
      <c r="C89" s="11">
        <v>608.74199999999996</v>
      </c>
      <c r="D89" s="11">
        <v>17</v>
      </c>
      <c r="E89" s="11">
        <v>10348.606</v>
      </c>
      <c r="F89" s="11">
        <v>35802</v>
      </c>
      <c r="G89" s="13">
        <f t="shared" si="1"/>
        <v>10348.606</v>
      </c>
      <c r="J89" s="4"/>
    </row>
    <row r="90" spans="1:10" x14ac:dyDescent="0.2">
      <c r="A90" s="11">
        <v>10</v>
      </c>
      <c r="B90" s="12" t="s">
        <v>52</v>
      </c>
      <c r="C90" s="11">
        <v>20.523</v>
      </c>
      <c r="D90" s="11">
        <v>0</v>
      </c>
      <c r="E90" s="11">
        <v>0</v>
      </c>
      <c r="F90" s="11">
        <v>0</v>
      </c>
      <c r="G90" s="13" t="str">
        <f t="shared" si="1"/>
        <v/>
      </c>
      <c r="J90" s="4"/>
    </row>
    <row r="91" spans="1:10" x14ac:dyDescent="0.2">
      <c r="A91" s="11">
        <v>11</v>
      </c>
      <c r="B91" s="12" t="s">
        <v>52</v>
      </c>
      <c r="C91" s="11">
        <v>929.29899999999998</v>
      </c>
      <c r="D91" s="11">
        <v>7.859</v>
      </c>
      <c r="E91" s="11">
        <v>7303.4530000000004</v>
      </c>
      <c r="F91" s="11">
        <v>25267</v>
      </c>
      <c r="G91" s="13">
        <f t="shared" si="1"/>
        <v>7303.4530000000004</v>
      </c>
      <c r="J91" s="4"/>
    </row>
    <row r="92" spans="1:10" x14ac:dyDescent="0.2">
      <c r="A92" s="11">
        <v>12</v>
      </c>
      <c r="B92" s="12" t="s">
        <v>52</v>
      </c>
      <c r="C92" s="11">
        <v>25.725999999999999</v>
      </c>
      <c r="D92" s="14">
        <v>0</v>
      </c>
      <c r="E92" s="11">
        <v>0</v>
      </c>
      <c r="F92" s="11">
        <v>0</v>
      </c>
      <c r="G92" s="13" t="str">
        <f t="shared" si="1"/>
        <v/>
      </c>
      <c r="J92" s="4"/>
    </row>
    <row r="93" spans="1:10" x14ac:dyDescent="0.2">
      <c r="A93" s="11">
        <v>13</v>
      </c>
      <c r="B93" s="12" t="s">
        <v>52</v>
      </c>
      <c r="C93" s="11">
        <v>941.43899999999996</v>
      </c>
      <c r="D93" s="11">
        <v>6.8540000000000001</v>
      </c>
      <c r="E93" s="11">
        <v>6452.4870000000001</v>
      </c>
      <c r="F93" s="11">
        <v>22323</v>
      </c>
      <c r="G93" s="13">
        <f t="shared" si="1"/>
        <v>6452.4870000000001</v>
      </c>
      <c r="J93" s="4"/>
    </row>
    <row r="94" spans="1:10" x14ac:dyDescent="0.2">
      <c r="A94" s="11">
        <v>14</v>
      </c>
      <c r="B94" s="12" t="s">
        <v>52</v>
      </c>
      <c r="C94" s="11">
        <v>23.123999999999999</v>
      </c>
      <c r="D94" s="14">
        <v>0</v>
      </c>
      <c r="E94" s="11">
        <v>0</v>
      </c>
      <c r="F94" s="11">
        <v>0</v>
      </c>
      <c r="G94" s="13" t="str">
        <f t="shared" si="1"/>
        <v/>
      </c>
      <c r="J94" s="4"/>
    </row>
    <row r="95" spans="1:10" x14ac:dyDescent="0.2">
      <c r="A95" s="11">
        <v>15</v>
      </c>
      <c r="B95" s="12" t="s">
        <v>52</v>
      </c>
      <c r="C95" s="11">
        <v>507.57400000000001</v>
      </c>
      <c r="D95" s="11">
        <v>5.7380000000000004</v>
      </c>
      <c r="E95" s="11">
        <v>2912.4789999999998</v>
      </c>
      <c r="F95" s="11">
        <v>10076</v>
      </c>
      <c r="G95" s="13">
        <f t="shared" si="1"/>
        <v>2881.5169859999996</v>
      </c>
      <c r="J95" s="4"/>
    </row>
    <row r="96" spans="1:10" x14ac:dyDescent="0.2">
      <c r="A96" s="11">
        <v>16</v>
      </c>
      <c r="B96" s="12" t="s">
        <v>52</v>
      </c>
      <c r="C96" s="11">
        <v>9.5389999999999997</v>
      </c>
      <c r="D96" s="11">
        <v>6.0999999999999999E-2</v>
      </c>
      <c r="E96" s="11">
        <v>0.57799999999999996</v>
      </c>
      <c r="F96" s="11">
        <v>2</v>
      </c>
      <c r="G96" s="13" t="str">
        <f t="shared" si="1"/>
        <v/>
      </c>
    </row>
    <row r="97" spans="1:7" x14ac:dyDescent="0.2">
      <c r="A97" s="11">
        <v>17</v>
      </c>
      <c r="B97" s="12" t="s">
        <v>52</v>
      </c>
      <c r="C97" s="11">
        <v>557.58000000000004</v>
      </c>
      <c r="D97" s="11">
        <v>12.712999999999999</v>
      </c>
      <c r="E97" s="11">
        <v>7088.6880000000001</v>
      </c>
      <c r="F97" s="11">
        <v>24524</v>
      </c>
      <c r="G97" s="13">
        <f t="shared" si="1"/>
        <v>7079.2091399999999</v>
      </c>
    </row>
    <row r="98" spans="1:7" x14ac:dyDescent="0.2">
      <c r="A98" s="11">
        <v>18</v>
      </c>
      <c r="B98" s="12" t="s">
        <v>52</v>
      </c>
      <c r="C98" s="11">
        <v>17.053999999999998</v>
      </c>
      <c r="D98" s="11">
        <v>1.7000000000000001E-2</v>
      </c>
      <c r="E98" s="11">
        <v>0.28899999999999998</v>
      </c>
      <c r="F98" s="11">
        <v>1</v>
      </c>
      <c r="G98" s="13" t="str">
        <f t="shared" si="1"/>
        <v/>
      </c>
    </row>
    <row r="99" spans="1:7" x14ac:dyDescent="0.2">
      <c r="A99" s="11">
        <v>19</v>
      </c>
      <c r="B99" s="12" t="s">
        <v>52</v>
      </c>
      <c r="C99" s="11">
        <v>638.51400000000001</v>
      </c>
      <c r="D99" s="11">
        <v>6.4980000000000002</v>
      </c>
      <c r="E99" s="11">
        <v>4148.75</v>
      </c>
      <c r="F99" s="11">
        <v>14353</v>
      </c>
      <c r="G99" s="13">
        <f t="shared" si="1"/>
        <v>4126.4020099999998</v>
      </c>
    </row>
    <row r="100" spans="1:7" x14ac:dyDescent="0.2">
      <c r="A100" s="11">
        <v>20</v>
      </c>
      <c r="B100" s="12" t="s">
        <v>52</v>
      </c>
      <c r="C100" s="11">
        <v>40.756</v>
      </c>
      <c r="D100" s="14">
        <v>3.5000000000000003E-2</v>
      </c>
      <c r="E100" s="11">
        <v>1.4450000000000001</v>
      </c>
      <c r="F100" s="11">
        <v>5</v>
      </c>
      <c r="G100" s="13" t="str">
        <f t="shared" si="1"/>
        <v/>
      </c>
    </row>
    <row r="101" spans="1:7" x14ac:dyDescent="0.2">
      <c r="A101" s="11">
        <v>21</v>
      </c>
      <c r="B101" s="12" t="s">
        <v>52</v>
      </c>
      <c r="C101" s="11">
        <v>450.34199999999998</v>
      </c>
      <c r="D101" s="11">
        <v>22.643000000000001</v>
      </c>
      <c r="E101" s="11">
        <v>10197.144</v>
      </c>
      <c r="F101" s="11">
        <v>35278</v>
      </c>
      <c r="G101" s="13">
        <f t="shared" si="1"/>
        <v>10197.144</v>
      </c>
    </row>
    <row r="102" spans="1:7" x14ac:dyDescent="0.2">
      <c r="A102" s="11">
        <v>22</v>
      </c>
      <c r="B102" s="12" t="s">
        <v>52</v>
      </c>
      <c r="C102" s="11">
        <v>3.18</v>
      </c>
      <c r="D102" s="11">
        <v>0</v>
      </c>
      <c r="E102" s="11">
        <v>0</v>
      </c>
      <c r="F102" s="11">
        <v>0</v>
      </c>
      <c r="G102" s="13" t="str">
        <f t="shared" si="1"/>
        <v/>
      </c>
    </row>
    <row r="103" spans="1:7" x14ac:dyDescent="0.2">
      <c r="A103" s="11">
        <v>23</v>
      </c>
      <c r="B103" s="12" t="s">
        <v>52</v>
      </c>
      <c r="C103" s="11">
        <v>340.50200000000001</v>
      </c>
      <c r="D103" s="11">
        <v>29.303000000000001</v>
      </c>
      <c r="E103" s="11">
        <v>9977.7540000000008</v>
      </c>
      <c r="F103" s="11">
        <v>34519</v>
      </c>
      <c r="G103" s="13">
        <f t="shared" si="1"/>
        <v>9873.5603880000017</v>
      </c>
    </row>
    <row r="104" spans="1:7" x14ac:dyDescent="0.2">
      <c r="A104" s="11">
        <v>24</v>
      </c>
      <c r="B104" s="12" t="s">
        <v>52</v>
      </c>
      <c r="C104" s="11">
        <v>20.812000000000001</v>
      </c>
      <c r="D104" s="11">
        <v>0.30599999999999999</v>
      </c>
      <c r="E104" s="11">
        <v>6.359</v>
      </c>
      <c r="F104" s="11">
        <v>22</v>
      </c>
      <c r="G104" s="13" t="str">
        <f t="shared" si="1"/>
        <v/>
      </c>
    </row>
    <row r="105" spans="1:7" x14ac:dyDescent="0.2">
      <c r="A105" s="11">
        <v>25</v>
      </c>
      <c r="B105" s="12" t="s">
        <v>52</v>
      </c>
      <c r="C105" s="11">
        <v>699.50400000000002</v>
      </c>
      <c r="D105" s="11">
        <v>14.336</v>
      </c>
      <c r="E105" s="11">
        <v>10028.338</v>
      </c>
      <c r="F105" s="11">
        <v>34694</v>
      </c>
      <c r="G105" s="13">
        <f t="shared" si="1"/>
        <v>10010.150895999999</v>
      </c>
    </row>
    <row r="106" spans="1:7" x14ac:dyDescent="0.2">
      <c r="A106" s="11">
        <v>26</v>
      </c>
      <c r="B106" s="12" t="s">
        <v>52</v>
      </c>
      <c r="C106" s="11">
        <v>10.984</v>
      </c>
      <c r="D106" s="11">
        <v>2.5999999999999999E-2</v>
      </c>
      <c r="E106" s="11">
        <v>0.28899999999999998</v>
      </c>
      <c r="F106" s="11">
        <v>1</v>
      </c>
      <c r="G106" s="13" t="str">
        <f t="shared" si="1"/>
        <v/>
      </c>
    </row>
    <row r="107" spans="1:7" x14ac:dyDescent="0.2">
      <c r="A107" s="11">
        <v>27</v>
      </c>
      <c r="B107" s="12" t="s">
        <v>52</v>
      </c>
      <c r="C107" s="11">
        <v>747.48599999999999</v>
      </c>
      <c r="D107" s="11">
        <v>12.169</v>
      </c>
      <c r="E107" s="11">
        <v>9096.1479999999992</v>
      </c>
      <c r="F107" s="11">
        <v>31469</v>
      </c>
      <c r="G107" s="13">
        <f t="shared" si="1"/>
        <v>8744.0820939999994</v>
      </c>
    </row>
    <row r="108" spans="1:7" x14ac:dyDescent="0.2">
      <c r="A108" s="11">
        <v>28</v>
      </c>
      <c r="B108" s="12" t="s">
        <v>52</v>
      </c>
      <c r="C108" s="11">
        <v>14.742000000000001</v>
      </c>
      <c r="D108" s="11">
        <v>0.47099999999999997</v>
      </c>
      <c r="E108" s="11">
        <v>6.9370000000000003</v>
      </c>
      <c r="F108" s="11">
        <v>24</v>
      </c>
      <c r="G108" s="13" t="str">
        <f t="shared" si="1"/>
        <v/>
      </c>
    </row>
    <row r="109" spans="1:7" x14ac:dyDescent="0.2">
      <c r="A109" s="11">
        <v>29</v>
      </c>
      <c r="B109" s="12" t="s">
        <v>52</v>
      </c>
      <c r="C109" s="11">
        <v>932.76800000000003</v>
      </c>
      <c r="D109" s="11">
        <v>14.798</v>
      </c>
      <c r="E109" s="11">
        <v>13803.344999999999</v>
      </c>
      <c r="F109" s="11">
        <v>47754</v>
      </c>
      <c r="G109" s="13">
        <f t="shared" si="1"/>
        <v>13803.344999999999</v>
      </c>
    </row>
    <row r="110" spans="1:7" x14ac:dyDescent="0.2">
      <c r="A110" s="11">
        <v>30</v>
      </c>
      <c r="B110" s="12" t="s">
        <v>52</v>
      </c>
      <c r="C110" s="11">
        <v>26.882000000000001</v>
      </c>
      <c r="D110" s="11">
        <v>0</v>
      </c>
      <c r="E110" s="11">
        <v>0</v>
      </c>
      <c r="F110" s="11">
        <v>0</v>
      </c>
      <c r="G110" s="13" t="str">
        <f t="shared" si="1"/>
        <v/>
      </c>
    </row>
    <row r="111" spans="1:7" x14ac:dyDescent="0.2">
      <c r="A111" s="11">
        <v>31</v>
      </c>
      <c r="B111" s="12" t="s">
        <v>52</v>
      </c>
      <c r="C111" s="11">
        <v>787.95299999999997</v>
      </c>
      <c r="D111" s="11">
        <v>6.6970000000000001</v>
      </c>
      <c r="E111" s="11">
        <v>5277.2049999999999</v>
      </c>
      <c r="F111" s="11">
        <v>18257</v>
      </c>
      <c r="G111" s="13">
        <f t="shared" si="1"/>
        <v>5103.8553400000001</v>
      </c>
    </row>
    <row r="112" spans="1:7" x14ac:dyDescent="0.2">
      <c r="A112" s="11">
        <v>32</v>
      </c>
      <c r="B112" s="12" t="s">
        <v>52</v>
      </c>
      <c r="C112" s="11">
        <v>11.851000000000001</v>
      </c>
      <c r="D112" s="11">
        <v>0.22</v>
      </c>
      <c r="E112" s="11">
        <v>2.601</v>
      </c>
      <c r="F112" s="11">
        <v>9</v>
      </c>
      <c r="G112" s="13" t="str">
        <f t="shared" si="1"/>
        <v/>
      </c>
    </row>
    <row r="113" spans="1:8" x14ac:dyDescent="0.2">
      <c r="A113" s="17">
        <v>1</v>
      </c>
      <c r="B113" s="17" t="s">
        <v>53</v>
      </c>
      <c r="C113" s="17">
        <v>164.18100000000001</v>
      </c>
      <c r="D113" s="17">
        <v>21.044</v>
      </c>
      <c r="E113" s="17">
        <v>3455.027</v>
      </c>
      <c r="F113" s="17">
        <v>11953</v>
      </c>
      <c r="G113" s="18">
        <f t="shared" ref="G113:G144" si="2">IF(MOD(A113,2)&gt;0, E113-(C113*D114), "")</f>
        <v>3455.027</v>
      </c>
      <c r="H113" s="15" t="s">
        <v>21</v>
      </c>
    </row>
    <row r="114" spans="1:8" x14ac:dyDescent="0.2">
      <c r="A114" s="11">
        <v>2</v>
      </c>
      <c r="B114" s="11" t="s">
        <v>53</v>
      </c>
      <c r="C114" s="11">
        <v>4.3360000000000003</v>
      </c>
      <c r="D114" s="11">
        <v>0</v>
      </c>
      <c r="E114" s="11">
        <v>0</v>
      </c>
      <c r="F114" s="11">
        <v>0</v>
      </c>
      <c r="G114" s="13" t="str">
        <f t="shared" si="2"/>
        <v/>
      </c>
    </row>
    <row r="115" spans="1:8" x14ac:dyDescent="0.2">
      <c r="A115" s="11">
        <v>3</v>
      </c>
      <c r="B115" s="11" t="s">
        <v>53</v>
      </c>
      <c r="C115" s="11">
        <v>359.86900000000003</v>
      </c>
      <c r="D115" s="11">
        <v>7.7160000000000002</v>
      </c>
      <c r="E115" s="11">
        <v>2776.9140000000002</v>
      </c>
      <c r="F115" s="11">
        <v>9607</v>
      </c>
      <c r="G115" s="13">
        <f t="shared" si="2"/>
        <v>2752.8027770000003</v>
      </c>
    </row>
    <row r="116" spans="1:8" x14ac:dyDescent="0.2">
      <c r="A116" s="11">
        <v>4</v>
      </c>
      <c r="B116" s="11" t="s">
        <v>53</v>
      </c>
      <c r="C116" s="11">
        <v>4.3360000000000003</v>
      </c>
      <c r="D116" s="11">
        <v>6.7000000000000004E-2</v>
      </c>
      <c r="E116" s="11">
        <v>0.28899999999999998</v>
      </c>
      <c r="F116" s="11">
        <v>1</v>
      </c>
      <c r="G116" s="13" t="str">
        <f t="shared" si="2"/>
        <v/>
      </c>
    </row>
    <row r="117" spans="1:8" x14ac:dyDescent="0.2">
      <c r="A117" s="11">
        <v>5</v>
      </c>
      <c r="B117" s="11" t="s">
        <v>53</v>
      </c>
      <c r="C117" s="11">
        <v>1261.7080000000001</v>
      </c>
      <c r="D117" s="11">
        <v>9.8309999999999995</v>
      </c>
      <c r="E117" s="11">
        <v>12403.47</v>
      </c>
      <c r="F117" s="11">
        <v>42911</v>
      </c>
      <c r="G117" s="13">
        <f t="shared" si="2"/>
        <v>12403.47</v>
      </c>
    </row>
    <row r="118" spans="1:8" x14ac:dyDescent="0.2">
      <c r="A118" s="11">
        <v>6</v>
      </c>
      <c r="B118" s="11" t="s">
        <v>53</v>
      </c>
      <c r="C118" s="11">
        <v>13.874000000000001</v>
      </c>
      <c r="D118" s="11">
        <v>0</v>
      </c>
      <c r="E118" s="11">
        <v>0</v>
      </c>
      <c r="F118" s="11">
        <v>0</v>
      </c>
      <c r="G118" s="13" t="str">
        <f t="shared" si="2"/>
        <v/>
      </c>
    </row>
    <row r="119" spans="1:8" x14ac:dyDescent="0.2">
      <c r="A119" s="11">
        <v>7</v>
      </c>
      <c r="B119" s="11" t="s">
        <v>53</v>
      </c>
      <c r="C119" s="11">
        <v>1033.069</v>
      </c>
      <c r="D119" s="11">
        <v>9.9369999999999994</v>
      </c>
      <c r="E119" s="11">
        <v>10265.36</v>
      </c>
      <c r="F119" s="11">
        <v>35514</v>
      </c>
      <c r="G119" s="13">
        <f t="shared" si="2"/>
        <v>10265.36</v>
      </c>
    </row>
    <row r="120" spans="1:8" x14ac:dyDescent="0.2">
      <c r="A120" s="11">
        <v>8</v>
      </c>
      <c r="B120" s="11" t="s">
        <v>53</v>
      </c>
      <c r="C120" s="11">
        <v>33.53</v>
      </c>
      <c r="D120" s="11">
        <v>0</v>
      </c>
      <c r="E120" s="11">
        <v>0</v>
      </c>
      <c r="F120" s="11">
        <v>0</v>
      </c>
      <c r="G120" s="13" t="str">
        <f t="shared" si="2"/>
        <v/>
      </c>
    </row>
    <row r="121" spans="1:8" x14ac:dyDescent="0.2">
      <c r="A121" s="11">
        <v>9</v>
      </c>
      <c r="B121" s="11" t="s">
        <v>53</v>
      </c>
      <c r="C121" s="11">
        <v>618.56899999999996</v>
      </c>
      <c r="D121" s="11">
        <v>0.56000000000000005</v>
      </c>
      <c r="E121" s="11">
        <v>346.572</v>
      </c>
      <c r="F121" s="11">
        <v>1199</v>
      </c>
      <c r="G121" s="13">
        <f t="shared" si="2"/>
        <v>346.572</v>
      </c>
    </row>
    <row r="122" spans="1:8" x14ac:dyDescent="0.2">
      <c r="A122" s="11">
        <v>10</v>
      </c>
      <c r="B122" s="11" t="s">
        <v>53</v>
      </c>
      <c r="C122" s="11">
        <v>31.795999999999999</v>
      </c>
      <c r="D122" s="11">
        <v>0</v>
      </c>
      <c r="E122" s="11">
        <v>0</v>
      </c>
      <c r="F122" s="11">
        <v>0</v>
      </c>
      <c r="G122" s="13" t="str">
        <f t="shared" si="2"/>
        <v/>
      </c>
    </row>
    <row r="123" spans="1:8" x14ac:dyDescent="0.2">
      <c r="A123" s="11">
        <v>11</v>
      </c>
      <c r="B123" s="11" t="s">
        <v>53</v>
      </c>
      <c r="C123" s="11">
        <v>1441.2090000000001</v>
      </c>
      <c r="D123" s="11">
        <v>2.0459999999999998</v>
      </c>
      <c r="E123" s="11">
        <v>2948.3209999999999</v>
      </c>
      <c r="F123" s="11">
        <v>10200</v>
      </c>
      <c r="G123" s="13">
        <f t="shared" si="2"/>
        <v>2932.467701</v>
      </c>
    </row>
    <row r="124" spans="1:8" x14ac:dyDescent="0.2">
      <c r="A124" s="11">
        <v>12</v>
      </c>
      <c r="B124" s="11" t="s">
        <v>53</v>
      </c>
      <c r="C124" s="11">
        <v>27.170999999999999</v>
      </c>
      <c r="D124" s="11">
        <v>1.0999999999999999E-2</v>
      </c>
      <c r="E124" s="11">
        <v>0.28899999999999998</v>
      </c>
      <c r="F124" s="11">
        <v>1</v>
      </c>
      <c r="G124" s="13" t="str">
        <f t="shared" si="2"/>
        <v/>
      </c>
    </row>
    <row r="125" spans="1:8" x14ac:dyDescent="0.2">
      <c r="A125" s="17">
        <v>1</v>
      </c>
      <c r="B125" s="17" t="s">
        <v>54</v>
      </c>
      <c r="C125" s="17">
        <v>1179.328</v>
      </c>
      <c r="D125" s="17">
        <v>5.54</v>
      </c>
      <c r="E125" s="17">
        <v>6533.71</v>
      </c>
      <c r="F125" s="17">
        <v>22604</v>
      </c>
      <c r="G125" s="18">
        <f t="shared" si="2"/>
        <v>6500.6888159999999</v>
      </c>
      <c r="H125" s="15" t="s">
        <v>20</v>
      </c>
    </row>
    <row r="126" spans="1:8" x14ac:dyDescent="0.2">
      <c r="A126" s="11">
        <v>2</v>
      </c>
      <c r="B126" s="11" t="s">
        <v>54</v>
      </c>
      <c r="C126" s="11">
        <v>31.218</v>
      </c>
      <c r="D126" s="11">
        <v>2.8000000000000001E-2</v>
      </c>
      <c r="E126" s="11">
        <v>0.86699999999999999</v>
      </c>
      <c r="F126" s="11">
        <v>3</v>
      </c>
      <c r="G126" s="13" t="str">
        <f t="shared" si="2"/>
        <v/>
      </c>
    </row>
    <row r="127" spans="1:8" x14ac:dyDescent="0.2">
      <c r="A127" s="11">
        <v>3</v>
      </c>
      <c r="B127" s="11" t="s">
        <v>54</v>
      </c>
      <c r="C127" s="11">
        <v>391.95299999999997</v>
      </c>
      <c r="D127" s="11">
        <v>17.465</v>
      </c>
      <c r="E127" s="11">
        <v>6845.3069999999998</v>
      </c>
      <c r="F127" s="11">
        <v>23682</v>
      </c>
      <c r="G127" s="13">
        <f t="shared" si="2"/>
        <v>6845.3069999999998</v>
      </c>
    </row>
    <row r="128" spans="1:8" x14ac:dyDescent="0.2">
      <c r="A128" s="11">
        <v>4</v>
      </c>
      <c r="B128" s="11" t="s">
        <v>54</v>
      </c>
      <c r="C128" s="11">
        <v>6.359</v>
      </c>
      <c r="D128" s="11">
        <v>0</v>
      </c>
      <c r="E128" s="11">
        <v>0</v>
      </c>
      <c r="F128" s="11">
        <v>0</v>
      </c>
      <c r="G128" s="13" t="str">
        <f t="shared" si="2"/>
        <v/>
      </c>
    </row>
    <row r="129" spans="1:7" x14ac:dyDescent="0.2">
      <c r="A129" s="11">
        <v>5</v>
      </c>
      <c r="B129" s="11" t="s">
        <v>54</v>
      </c>
      <c r="C129" s="11">
        <v>601.226</v>
      </c>
      <c r="D129" s="11">
        <v>5.9950000000000001</v>
      </c>
      <c r="E129" s="11">
        <v>3604.1779999999999</v>
      </c>
      <c r="F129" s="11">
        <v>12469</v>
      </c>
      <c r="G129" s="13">
        <f t="shared" si="2"/>
        <v>3604.1779999999999</v>
      </c>
    </row>
    <row r="130" spans="1:7" x14ac:dyDescent="0.2">
      <c r="A130" s="11">
        <v>6</v>
      </c>
      <c r="B130" s="11" t="s">
        <v>54</v>
      </c>
      <c r="C130" s="11">
        <v>17.053999999999998</v>
      </c>
      <c r="D130" s="11">
        <v>0</v>
      </c>
      <c r="E130" s="11">
        <v>0</v>
      </c>
      <c r="F130" s="11">
        <v>0</v>
      </c>
      <c r="G130" s="13" t="str">
        <f t="shared" si="2"/>
        <v/>
      </c>
    </row>
    <row r="131" spans="1:7" x14ac:dyDescent="0.2">
      <c r="A131" s="11">
        <v>7</v>
      </c>
      <c r="B131" s="11" t="s">
        <v>54</v>
      </c>
      <c r="C131" s="11">
        <v>1205.6320000000001</v>
      </c>
      <c r="D131" s="11">
        <v>1.405</v>
      </c>
      <c r="E131" s="11">
        <v>1694.1279999999999</v>
      </c>
      <c r="F131" s="11">
        <v>5861</v>
      </c>
      <c r="G131" s="13">
        <f t="shared" si="2"/>
        <v>1685.688576</v>
      </c>
    </row>
    <row r="132" spans="1:7" x14ac:dyDescent="0.2">
      <c r="A132" s="11">
        <v>8</v>
      </c>
      <c r="B132" s="11" t="s">
        <v>54</v>
      </c>
      <c r="C132" s="11">
        <v>39.021999999999998</v>
      </c>
      <c r="D132" s="11">
        <v>7.0000000000000001E-3</v>
      </c>
      <c r="E132" s="11">
        <v>0.28899999999999998</v>
      </c>
      <c r="F132" s="11">
        <v>1</v>
      </c>
      <c r="G132" s="13" t="str">
        <f t="shared" si="2"/>
        <v/>
      </c>
    </row>
    <row r="133" spans="1:7" x14ac:dyDescent="0.2">
      <c r="A133" s="11">
        <v>9</v>
      </c>
      <c r="B133" s="11" t="s">
        <v>54</v>
      </c>
      <c r="C133" s="11">
        <v>621.17100000000005</v>
      </c>
      <c r="D133" s="11">
        <v>6.516</v>
      </c>
      <c r="E133" s="11">
        <v>4047.5819999999999</v>
      </c>
      <c r="F133" s="11">
        <v>14003</v>
      </c>
      <c r="G133" s="13">
        <f t="shared" si="2"/>
        <v>4047.5819999999999</v>
      </c>
    </row>
    <row r="134" spans="1:7" x14ac:dyDescent="0.2">
      <c r="A134" s="11">
        <v>10</v>
      </c>
      <c r="B134" s="11" t="s">
        <v>54</v>
      </c>
      <c r="C134" s="11">
        <v>21.39</v>
      </c>
      <c r="D134" s="11">
        <v>0</v>
      </c>
      <c r="E134" s="11">
        <v>0</v>
      </c>
      <c r="F134" s="11">
        <v>0</v>
      </c>
      <c r="G134" s="13" t="str">
        <f t="shared" si="2"/>
        <v/>
      </c>
    </row>
    <row r="135" spans="1:7" x14ac:dyDescent="0.2">
      <c r="A135" s="11">
        <v>11</v>
      </c>
      <c r="B135" s="11" t="s">
        <v>54</v>
      </c>
      <c r="C135" s="11">
        <v>2158.6329999999998</v>
      </c>
      <c r="D135" s="11">
        <v>4.9329999999999998</v>
      </c>
      <c r="E135" s="11">
        <v>10648.063</v>
      </c>
      <c r="F135" s="11">
        <v>36838</v>
      </c>
      <c r="G135" s="13">
        <f t="shared" si="2"/>
        <v>10648.063</v>
      </c>
    </row>
    <row r="136" spans="1:7" x14ac:dyDescent="0.2">
      <c r="A136" s="11">
        <v>12</v>
      </c>
      <c r="B136" s="11" t="s">
        <v>54</v>
      </c>
      <c r="C136" s="11">
        <v>11.273</v>
      </c>
      <c r="D136" s="11">
        <v>0</v>
      </c>
      <c r="E136" s="11">
        <v>0</v>
      </c>
      <c r="F136" s="11">
        <v>0</v>
      </c>
      <c r="G136" s="13" t="str">
        <f t="shared" si="2"/>
        <v/>
      </c>
    </row>
    <row r="137" spans="1:7" x14ac:dyDescent="0.2">
      <c r="A137" s="11">
        <v>13</v>
      </c>
      <c r="B137" s="11" t="s">
        <v>54</v>
      </c>
      <c r="C137" s="11">
        <v>1145.798</v>
      </c>
      <c r="D137" s="11">
        <v>8.9610000000000003</v>
      </c>
      <c r="E137" s="11">
        <v>10267.383</v>
      </c>
      <c r="F137" s="11">
        <v>35521</v>
      </c>
      <c r="G137" s="13">
        <f t="shared" si="2"/>
        <v>10233.00906</v>
      </c>
    </row>
    <row r="138" spans="1:7" x14ac:dyDescent="0.2">
      <c r="A138" s="11">
        <v>14</v>
      </c>
      <c r="B138" s="11" t="s">
        <v>54</v>
      </c>
      <c r="C138" s="11">
        <v>19.077000000000002</v>
      </c>
      <c r="D138" s="11">
        <v>0.03</v>
      </c>
      <c r="E138" s="11">
        <v>0.57799999999999996</v>
      </c>
      <c r="F138" s="11">
        <v>2</v>
      </c>
      <c r="G138" s="13" t="str">
        <f t="shared" si="2"/>
        <v/>
      </c>
    </row>
    <row r="139" spans="1:7" x14ac:dyDescent="0.2">
      <c r="A139" s="11">
        <v>15</v>
      </c>
      <c r="B139" s="11" t="s">
        <v>54</v>
      </c>
      <c r="C139" s="11">
        <v>362.47</v>
      </c>
      <c r="D139" s="11">
        <v>4.9950000000000001</v>
      </c>
      <c r="E139" s="11">
        <v>1810.616</v>
      </c>
      <c r="F139" s="11">
        <v>6264</v>
      </c>
      <c r="G139" s="13">
        <f t="shared" si="2"/>
        <v>1810.616</v>
      </c>
    </row>
    <row r="140" spans="1:7" x14ac:dyDescent="0.2">
      <c r="A140" s="11">
        <v>16</v>
      </c>
      <c r="B140" s="11" t="s">
        <v>54</v>
      </c>
      <c r="C140" s="11">
        <v>19.945</v>
      </c>
      <c r="D140" s="11">
        <v>0</v>
      </c>
      <c r="E140" s="11">
        <v>0</v>
      </c>
      <c r="F140" s="11">
        <v>0</v>
      </c>
      <c r="G140" s="13" t="str">
        <f t="shared" si="2"/>
        <v/>
      </c>
    </row>
    <row r="141" spans="1:7" x14ac:dyDescent="0.2">
      <c r="A141" s="11">
        <v>17</v>
      </c>
      <c r="B141" s="11" t="s">
        <v>54</v>
      </c>
      <c r="C141" s="11">
        <v>3310.2130000000002</v>
      </c>
      <c r="D141" s="11">
        <v>4.8819999999999997</v>
      </c>
      <c r="E141" s="11">
        <v>16158.822</v>
      </c>
      <c r="F141" s="11">
        <v>55903</v>
      </c>
      <c r="G141" s="13">
        <f t="shared" si="2"/>
        <v>16158.822</v>
      </c>
    </row>
    <row r="142" spans="1:7" x14ac:dyDescent="0.2">
      <c r="A142" s="11">
        <v>18</v>
      </c>
      <c r="B142" s="11" t="s">
        <v>54</v>
      </c>
      <c r="C142" s="11">
        <v>18.788</v>
      </c>
      <c r="D142" s="11">
        <v>0</v>
      </c>
      <c r="E142" s="11">
        <v>0</v>
      </c>
      <c r="F142" s="11">
        <v>0</v>
      </c>
      <c r="G142" s="13" t="str">
        <f t="shared" si="2"/>
        <v/>
      </c>
    </row>
    <row r="143" spans="1:7" x14ac:dyDescent="0.2">
      <c r="A143" s="11">
        <v>19</v>
      </c>
      <c r="B143" s="11" t="s">
        <v>54</v>
      </c>
      <c r="C143" s="11">
        <v>1292.925</v>
      </c>
      <c r="D143" s="11">
        <v>6.5880000000000001</v>
      </c>
      <c r="E143" s="11">
        <v>8517.7569999999996</v>
      </c>
      <c r="F143" s="11">
        <v>29468</v>
      </c>
      <c r="G143" s="13">
        <f t="shared" si="2"/>
        <v>8517.7569999999996</v>
      </c>
    </row>
    <row r="144" spans="1:7" x14ac:dyDescent="0.2">
      <c r="A144" s="11">
        <v>20</v>
      </c>
      <c r="B144" s="11" t="s">
        <v>54</v>
      </c>
      <c r="C144" s="11">
        <v>46.247999999999998</v>
      </c>
      <c r="D144" s="11">
        <v>0</v>
      </c>
      <c r="E144" s="11">
        <v>0</v>
      </c>
      <c r="F144" s="11">
        <v>0</v>
      </c>
      <c r="G144" s="13" t="str">
        <f t="shared" si="2"/>
        <v/>
      </c>
    </row>
    <row r="145" spans="1:8" x14ac:dyDescent="0.2">
      <c r="A145" s="11">
        <v>21</v>
      </c>
      <c r="B145" s="11" t="s">
        <v>54</v>
      </c>
      <c r="C145" s="11">
        <v>2060.3560000000002</v>
      </c>
      <c r="D145" s="11">
        <v>6.4809999999999999</v>
      </c>
      <c r="E145" s="11">
        <v>13353.291999999999</v>
      </c>
      <c r="F145" s="11">
        <v>46197</v>
      </c>
      <c r="G145" s="13">
        <f t="shared" ref="G145:G167" si="3">IF(MOD(A145,2)&gt;0, E145-(C145*D146), "")</f>
        <v>13347.110932</v>
      </c>
    </row>
    <row r="146" spans="1:8" x14ac:dyDescent="0.2">
      <c r="A146" s="11">
        <v>22</v>
      </c>
      <c r="B146" s="11" t="s">
        <v>54</v>
      </c>
      <c r="C146" s="11">
        <v>82.957999999999998</v>
      </c>
      <c r="D146" s="11">
        <v>3.0000000000000001E-3</v>
      </c>
      <c r="E146" s="11">
        <v>0.28899999999999998</v>
      </c>
      <c r="F146" s="11">
        <v>1</v>
      </c>
      <c r="G146" s="13" t="str">
        <f t="shared" si="3"/>
        <v/>
      </c>
    </row>
    <row r="147" spans="1:8" x14ac:dyDescent="0.2">
      <c r="A147" s="11">
        <v>23</v>
      </c>
      <c r="B147" s="11" t="s">
        <v>54</v>
      </c>
      <c r="C147" s="11">
        <v>955.02499999999998</v>
      </c>
      <c r="D147" s="11">
        <v>3.7</v>
      </c>
      <c r="E147" s="11">
        <v>3533.6489999999999</v>
      </c>
      <c r="F147" s="11">
        <v>12225</v>
      </c>
      <c r="G147" s="13">
        <f t="shared" si="3"/>
        <v>3533.6489999999999</v>
      </c>
    </row>
    <row r="148" spans="1:8" x14ac:dyDescent="0.2">
      <c r="A148" s="11">
        <v>24</v>
      </c>
      <c r="B148" s="11" t="s">
        <v>54</v>
      </c>
      <c r="C148" s="11">
        <v>32.374000000000002</v>
      </c>
      <c r="D148" s="11">
        <v>0</v>
      </c>
      <c r="E148" s="11">
        <v>0</v>
      </c>
      <c r="F148" s="11">
        <v>0</v>
      </c>
      <c r="G148" s="13" t="str">
        <f t="shared" si="3"/>
        <v/>
      </c>
    </row>
    <row r="149" spans="1:8" x14ac:dyDescent="0.2">
      <c r="A149" s="11">
        <v>25</v>
      </c>
      <c r="B149" s="11" t="s">
        <v>54</v>
      </c>
      <c r="C149" s="11">
        <v>869.17700000000002</v>
      </c>
      <c r="D149" s="11">
        <v>5.5780000000000003</v>
      </c>
      <c r="E149" s="11">
        <v>4847.9650000000001</v>
      </c>
      <c r="F149" s="11">
        <v>16772</v>
      </c>
      <c r="G149" s="13">
        <f t="shared" si="3"/>
        <v>4835.7965220000006</v>
      </c>
    </row>
    <row r="150" spans="1:8" x14ac:dyDescent="0.2">
      <c r="A150" s="11">
        <v>26</v>
      </c>
      <c r="B150" s="11" t="s">
        <v>54</v>
      </c>
      <c r="C150" s="11">
        <v>20.234000000000002</v>
      </c>
      <c r="D150" s="11">
        <v>1.4E-2</v>
      </c>
      <c r="E150" s="11">
        <v>0.28899999999999998</v>
      </c>
      <c r="F150" s="11">
        <v>1</v>
      </c>
      <c r="G150" s="13" t="str">
        <f t="shared" si="3"/>
        <v/>
      </c>
    </row>
    <row r="151" spans="1:8" x14ac:dyDescent="0.2">
      <c r="A151" s="11">
        <v>27</v>
      </c>
      <c r="B151" s="11" t="s">
        <v>54</v>
      </c>
      <c r="C151" s="11">
        <v>1571.86</v>
      </c>
      <c r="D151" s="11">
        <v>8.2650000000000006</v>
      </c>
      <c r="E151" s="11">
        <v>12990.822</v>
      </c>
      <c r="F151" s="11">
        <v>44943</v>
      </c>
      <c r="G151" s="13">
        <f t="shared" si="3"/>
        <v>12990.822</v>
      </c>
    </row>
    <row r="152" spans="1:8" x14ac:dyDescent="0.2">
      <c r="A152" s="11">
        <v>28</v>
      </c>
      <c r="B152" s="11" t="s">
        <v>54</v>
      </c>
      <c r="C152" s="11">
        <v>49.139000000000003</v>
      </c>
      <c r="D152" s="11">
        <v>0</v>
      </c>
      <c r="E152" s="11">
        <v>0</v>
      </c>
      <c r="F152" s="11">
        <v>0</v>
      </c>
      <c r="G152" s="13" t="str">
        <f t="shared" si="3"/>
        <v/>
      </c>
    </row>
    <row r="153" spans="1:8" x14ac:dyDescent="0.2">
      <c r="A153" s="17">
        <v>1</v>
      </c>
      <c r="B153" s="17" t="s">
        <v>55</v>
      </c>
      <c r="C153" s="17">
        <v>1112.269</v>
      </c>
      <c r="D153" s="17">
        <v>3.1389999999999998</v>
      </c>
      <c r="E153" s="17">
        <v>3491.1590000000001</v>
      </c>
      <c r="F153" s="17">
        <v>12078</v>
      </c>
      <c r="G153" s="18">
        <f t="shared" si="3"/>
        <v>3491.1590000000001</v>
      </c>
      <c r="H153" s="15" t="s">
        <v>20</v>
      </c>
    </row>
    <row r="154" spans="1:8" x14ac:dyDescent="0.2">
      <c r="A154" s="11">
        <v>2</v>
      </c>
      <c r="B154" s="11" t="s">
        <v>55</v>
      </c>
      <c r="C154" s="11">
        <v>24.858000000000001</v>
      </c>
      <c r="D154" s="11">
        <v>0</v>
      </c>
      <c r="E154" s="11">
        <v>0</v>
      </c>
      <c r="F154" s="11">
        <v>0</v>
      </c>
      <c r="G154" s="13" t="str">
        <f t="shared" si="3"/>
        <v/>
      </c>
    </row>
    <row r="155" spans="1:8" x14ac:dyDescent="0.2">
      <c r="A155" s="11">
        <v>3</v>
      </c>
      <c r="B155" s="11" t="s">
        <v>55</v>
      </c>
      <c r="C155" s="11">
        <v>1564.0550000000001</v>
      </c>
      <c r="D155" s="11">
        <v>3.9209999999999998</v>
      </c>
      <c r="E155" s="11">
        <v>6132.2179999999998</v>
      </c>
      <c r="F155" s="11">
        <v>21215</v>
      </c>
      <c r="G155" s="13">
        <f t="shared" si="3"/>
        <v>6094.6806799999995</v>
      </c>
    </row>
    <row r="156" spans="1:8" x14ac:dyDescent="0.2">
      <c r="A156" s="11">
        <v>4</v>
      </c>
      <c r="B156" s="11" t="s">
        <v>55</v>
      </c>
      <c r="C156" s="11">
        <v>11.851000000000001</v>
      </c>
      <c r="D156" s="11">
        <v>2.4E-2</v>
      </c>
      <c r="E156" s="11">
        <v>0.28899999999999998</v>
      </c>
      <c r="F156" s="11">
        <v>1</v>
      </c>
      <c r="G156" s="13" t="str">
        <f t="shared" si="3"/>
        <v/>
      </c>
    </row>
    <row r="157" spans="1:8" x14ac:dyDescent="0.2">
      <c r="A157" s="11">
        <v>5</v>
      </c>
      <c r="B157" s="11" t="s">
        <v>55</v>
      </c>
      <c r="C157" s="11">
        <v>339.346</v>
      </c>
      <c r="D157" s="11">
        <v>2.0259999999999998</v>
      </c>
      <c r="E157" s="11">
        <v>687.65200000000004</v>
      </c>
      <c r="F157" s="11">
        <v>2379</v>
      </c>
      <c r="G157" s="13">
        <f t="shared" si="3"/>
        <v>687.65200000000004</v>
      </c>
    </row>
    <row r="158" spans="1:8" x14ac:dyDescent="0.2">
      <c r="A158" s="11">
        <v>6</v>
      </c>
      <c r="B158" s="11" t="s">
        <v>55</v>
      </c>
      <c r="C158" s="11">
        <v>9.25</v>
      </c>
      <c r="D158" s="11">
        <v>0</v>
      </c>
      <c r="E158" s="11">
        <v>0</v>
      </c>
      <c r="F158" s="11">
        <v>0</v>
      </c>
      <c r="G158" s="13" t="str">
        <f t="shared" si="3"/>
        <v/>
      </c>
    </row>
    <row r="159" spans="1:8" x14ac:dyDescent="0.2">
      <c r="A159" s="11">
        <v>7</v>
      </c>
      <c r="B159" s="11" t="s">
        <v>55</v>
      </c>
      <c r="C159" s="11">
        <v>275.755</v>
      </c>
      <c r="D159" s="11">
        <v>1.1299999999999999</v>
      </c>
      <c r="E159" s="11">
        <v>311.59699999999998</v>
      </c>
      <c r="F159" s="11">
        <v>1078</v>
      </c>
      <c r="G159" s="13">
        <f t="shared" si="3"/>
        <v>311.59699999999998</v>
      </c>
    </row>
    <row r="160" spans="1:8" x14ac:dyDescent="0.2">
      <c r="A160" s="11">
        <v>8</v>
      </c>
      <c r="B160" s="11" t="s">
        <v>55</v>
      </c>
      <c r="C160" s="11">
        <v>10.117000000000001</v>
      </c>
      <c r="D160" s="11">
        <v>0</v>
      </c>
      <c r="E160" s="11">
        <v>0</v>
      </c>
      <c r="F160" s="11">
        <v>0</v>
      </c>
      <c r="G160" s="13" t="str">
        <f t="shared" si="3"/>
        <v/>
      </c>
    </row>
    <row r="161" spans="1:7" x14ac:dyDescent="0.2">
      <c r="A161" s="11">
        <v>9</v>
      </c>
      <c r="B161" s="11" t="s">
        <v>55</v>
      </c>
      <c r="C161" s="11">
        <v>734.76800000000003</v>
      </c>
      <c r="D161" s="11">
        <v>9.4809999999999999</v>
      </c>
      <c r="E161" s="11">
        <v>6966.42</v>
      </c>
      <c r="F161" s="11">
        <v>24101</v>
      </c>
      <c r="G161" s="13">
        <f t="shared" si="3"/>
        <v>6966.42</v>
      </c>
    </row>
    <row r="162" spans="1:7" x14ac:dyDescent="0.2">
      <c r="A162" s="11">
        <v>10</v>
      </c>
      <c r="B162" s="11" t="s">
        <v>55</v>
      </c>
      <c r="C162" s="11">
        <v>9.25</v>
      </c>
      <c r="D162" s="11">
        <v>0</v>
      </c>
      <c r="E162" s="11">
        <v>0</v>
      </c>
      <c r="F162" s="11">
        <v>0</v>
      </c>
      <c r="G162" s="13" t="str">
        <f t="shared" si="3"/>
        <v/>
      </c>
    </row>
    <row r="163" spans="1:7" x14ac:dyDescent="0.2">
      <c r="A163" s="11">
        <v>11</v>
      </c>
      <c r="B163" s="11" t="s">
        <v>55</v>
      </c>
      <c r="C163" s="11">
        <v>319.40100000000001</v>
      </c>
      <c r="D163" s="11">
        <v>1.506</v>
      </c>
      <c r="E163" s="11">
        <v>480.98099999999999</v>
      </c>
      <c r="F163" s="11">
        <v>1664</v>
      </c>
      <c r="G163" s="13">
        <f t="shared" si="3"/>
        <v>480.98099999999999</v>
      </c>
    </row>
    <row r="164" spans="1:7" x14ac:dyDescent="0.2">
      <c r="A164" s="11">
        <v>12</v>
      </c>
      <c r="B164" s="11" t="s">
        <v>55</v>
      </c>
      <c r="C164" s="11">
        <v>11.851000000000001</v>
      </c>
      <c r="D164" s="11">
        <v>0</v>
      </c>
      <c r="E164" s="11">
        <v>0</v>
      </c>
      <c r="F164" s="11">
        <v>0</v>
      </c>
      <c r="G164" s="13" t="str">
        <f t="shared" si="3"/>
        <v/>
      </c>
    </row>
    <row r="165" spans="1:7" x14ac:dyDescent="0.2">
      <c r="A165" s="11">
        <v>13</v>
      </c>
      <c r="B165" s="11" t="s">
        <v>55</v>
      </c>
      <c r="C165" s="11">
        <v>605.27300000000002</v>
      </c>
      <c r="D165" s="11">
        <v>2.0750000000000002</v>
      </c>
      <c r="E165" s="11">
        <v>1255.9269999999999</v>
      </c>
      <c r="F165" s="11">
        <v>4345</v>
      </c>
      <c r="G165" s="13">
        <f t="shared" si="3"/>
        <v>1255.9269999999999</v>
      </c>
    </row>
    <row r="166" spans="1:7" x14ac:dyDescent="0.2">
      <c r="A166" s="11">
        <v>14</v>
      </c>
      <c r="B166" s="11" t="s">
        <v>55</v>
      </c>
      <c r="C166" s="11">
        <v>14.742000000000001</v>
      </c>
      <c r="D166" s="11">
        <v>0</v>
      </c>
      <c r="E166" s="11">
        <v>0</v>
      </c>
      <c r="F166" s="11">
        <v>0</v>
      </c>
      <c r="G166" s="13" t="str">
        <f t="shared" si="3"/>
        <v/>
      </c>
    </row>
    <row r="167" spans="1:7" x14ac:dyDescent="0.2">
      <c r="A167" s="11">
        <v>15</v>
      </c>
      <c r="B167" s="11" t="s">
        <v>55</v>
      </c>
      <c r="C167" s="11">
        <v>263.32600000000002</v>
      </c>
      <c r="D167" s="11">
        <v>4.9729999999999999</v>
      </c>
      <c r="E167" s="11">
        <v>1309.4010000000001</v>
      </c>
      <c r="F167" s="11">
        <v>4530</v>
      </c>
      <c r="G167" s="13">
        <f t="shared" si="3"/>
        <v>1309.4010000000001</v>
      </c>
    </row>
    <row r="168" spans="1:7" x14ac:dyDescent="0.2">
      <c r="A168" s="11">
        <v>16</v>
      </c>
      <c r="B168" s="11" t="s">
        <v>55</v>
      </c>
      <c r="C168" s="11">
        <v>5.7809999999999997</v>
      </c>
      <c r="D168" s="11">
        <v>0</v>
      </c>
      <c r="E168" s="11">
        <v>0</v>
      </c>
      <c r="F168" s="11">
        <v>0</v>
      </c>
      <c r="G168" s="13" t="str">
        <f t="shared" si="1"/>
        <v/>
      </c>
    </row>
  </sheetData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63X 20mM</vt:lpstr>
      <vt:lpstr>20X 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Sejal Sripadanna</dc:creator>
  <cp:lastModifiedBy>Sejal Sripadanna</cp:lastModifiedBy>
  <dcterms:created xsi:type="dcterms:W3CDTF">2026-07-29T21:17:42Z</dcterms:created>
  <dcterms:modified xsi:type="dcterms:W3CDTF">2026-07-30T18:19:37Z</dcterms:modified>
</cp:coreProperties>
</file>