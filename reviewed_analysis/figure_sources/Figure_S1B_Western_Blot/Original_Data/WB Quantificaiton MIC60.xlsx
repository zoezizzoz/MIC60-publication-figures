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cklejuice/Desktop/XinnanLab/Results/MIC60Results/MIC60 WBs/"/>
    </mc:Choice>
  </mc:AlternateContent>
  <xr:revisionPtr revIDLastSave="0" documentId="13_ncr:1_{6BFBE93D-FB74-5740-B9D5-61DF25368721}" xr6:coauthVersionLast="47" xr6:coauthVersionMax="47" xr10:uidLastSave="{00000000-0000-0000-0000-000000000000}"/>
  <bookViews>
    <workbookView xWindow="5700" yWindow="660" windowWidth="23700" windowHeight="16980" activeTab="1" xr2:uid="{774EF568-2A04-8C4C-9D14-EBBD9D009CD9}"/>
  </bookViews>
  <sheets>
    <sheet name="Refined data" sheetId="2" r:id="rId1"/>
    <sheet name="More data" sheetId="1" r:id="rId2"/>
  </sheets>
  <definedNames>
    <definedName name="_xlchart.v1.0" hidden="1">'Refined data'!$H$3:$H$6</definedName>
    <definedName name="_xlchart.v1.1" hidden="1">'Refined data'!$I$2</definedName>
    <definedName name="_xlchart.v1.10" hidden="1">'Refined data'!$O$2</definedName>
    <definedName name="_xlchart.v1.11" hidden="1">'Refined data'!$O$3:$O$6</definedName>
    <definedName name="_xlchart.v1.12" hidden="1">'Refined data'!$P$2</definedName>
    <definedName name="_xlchart.v1.13" hidden="1">'Refined data'!$P$3:$P$6</definedName>
    <definedName name="_xlchart.v1.14" hidden="1">'Refined data'!$H$3:$H$6</definedName>
    <definedName name="_xlchart.v1.15" hidden="1">'Refined data'!$I$2</definedName>
    <definedName name="_xlchart.v1.16" hidden="1">'Refined data'!$I$3:$I$6</definedName>
    <definedName name="_xlchart.v1.17" hidden="1">'Refined data'!$J$2</definedName>
    <definedName name="_xlchart.v1.18" hidden="1">'Refined data'!$J$3:$J$6</definedName>
    <definedName name="_xlchart.v1.19" hidden="1">'Refined data'!$K$2</definedName>
    <definedName name="_xlchart.v1.2" hidden="1">'Refined data'!$I$3:$I$6</definedName>
    <definedName name="_xlchart.v1.20" hidden="1">'Refined data'!$K$3:$K$6</definedName>
    <definedName name="_xlchart.v1.21" hidden="1">'More data'!$A$48:$B$51</definedName>
    <definedName name="_xlchart.v1.22" hidden="1">'More data'!$C$47</definedName>
    <definedName name="_xlchart.v1.23" hidden="1">'More data'!$C$48:$C$51</definedName>
    <definedName name="_xlchart.v1.24" hidden="1">'More data'!$D$47</definedName>
    <definedName name="_xlchart.v1.25" hidden="1">'More data'!$D$48:$D$51</definedName>
    <definedName name="_xlchart.v1.26" hidden="1">'More data'!$E$47</definedName>
    <definedName name="_xlchart.v1.27" hidden="1">'More data'!$E$48:$E$51</definedName>
    <definedName name="_xlchart.v1.28" hidden="1">'More data'!$B$53:$B$56</definedName>
    <definedName name="_xlchart.v1.29" hidden="1">'More data'!$C$53:$C$56</definedName>
    <definedName name="_xlchart.v1.3" hidden="1">'Refined data'!$J$2</definedName>
    <definedName name="_xlchart.v1.30" hidden="1">'More data'!$D$53:$D$56</definedName>
    <definedName name="_xlchart.v1.31" hidden="1">'More data'!$E$53:$E$56</definedName>
    <definedName name="_xlchart.v1.4" hidden="1">'Refined data'!$J$3:$J$6</definedName>
    <definedName name="_xlchart.v1.5" hidden="1">'Refined data'!$K$2</definedName>
    <definedName name="_xlchart.v1.6" hidden="1">'Refined data'!$K$3:$K$6</definedName>
    <definedName name="_xlchart.v1.7" hidden="1">'Refined data'!$M$3:$M$6</definedName>
    <definedName name="_xlchart.v1.8" hidden="1">'Refined data'!$N$2</definedName>
    <definedName name="_xlchart.v1.9" hidden="1">'Refined data'!$N$3:$N$6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2" l="1"/>
  <c r="K5" i="2"/>
  <c r="K6" i="2"/>
  <c r="K3" i="2"/>
  <c r="J4" i="2"/>
  <c r="J5" i="2"/>
  <c r="J6" i="2"/>
  <c r="J3" i="2"/>
  <c r="I4" i="2"/>
  <c r="I5" i="2"/>
  <c r="I6" i="2"/>
  <c r="I3" i="2"/>
  <c r="E53" i="2"/>
  <c r="E52" i="2"/>
  <c r="E51" i="2"/>
  <c r="E50" i="2"/>
  <c r="E45" i="2"/>
  <c r="E46" i="2"/>
  <c r="E47" i="2"/>
  <c r="E48" i="2"/>
  <c r="E26" i="2"/>
  <c r="E25" i="2"/>
  <c r="E24" i="2"/>
  <c r="E23" i="2"/>
  <c r="E19" i="2"/>
  <c r="E20" i="2"/>
  <c r="E21" i="2"/>
  <c r="E18" i="2"/>
  <c r="E42" i="2"/>
  <c r="E41" i="2"/>
  <c r="E40" i="2"/>
  <c r="E39" i="2"/>
  <c r="E37" i="2"/>
  <c r="E36" i="2"/>
  <c r="E35" i="2"/>
  <c r="E34" i="2"/>
  <c r="E32" i="2"/>
  <c r="E31" i="2"/>
  <c r="E30" i="2"/>
  <c r="F35" i="2" s="1"/>
  <c r="E29" i="2"/>
  <c r="F39" i="2" s="1"/>
  <c r="E15" i="2"/>
  <c r="E14" i="2"/>
  <c r="E13" i="2"/>
  <c r="E12" i="2"/>
  <c r="E10" i="2"/>
  <c r="E9" i="2"/>
  <c r="E8" i="2"/>
  <c r="E7" i="2"/>
  <c r="E5" i="2"/>
  <c r="E4" i="2"/>
  <c r="E3" i="2"/>
  <c r="E2" i="2"/>
  <c r="E54" i="1"/>
  <c r="E55" i="1"/>
  <c r="E56" i="1"/>
  <c r="E53" i="1"/>
  <c r="E49" i="1"/>
  <c r="E50" i="1"/>
  <c r="E51" i="1"/>
  <c r="E48" i="1"/>
  <c r="D50" i="1"/>
  <c r="D51" i="1"/>
  <c r="D49" i="1"/>
  <c r="D48" i="1"/>
  <c r="C55" i="1"/>
  <c r="C56" i="1"/>
  <c r="C54" i="1"/>
  <c r="C53" i="1"/>
  <c r="C51" i="1"/>
  <c r="C50" i="1"/>
  <c r="C49" i="1"/>
  <c r="C48" i="1"/>
  <c r="O8" i="1"/>
  <c r="O9" i="1"/>
  <c r="O10" i="1"/>
  <c r="J15" i="1"/>
  <c r="J14" i="1"/>
  <c r="J13" i="1"/>
  <c r="J12" i="1"/>
  <c r="J3" i="1"/>
  <c r="J4" i="1"/>
  <c r="J5" i="1"/>
  <c r="J2" i="1"/>
  <c r="J7" i="1"/>
  <c r="O7" i="1"/>
  <c r="E42" i="1"/>
  <c r="E43" i="1"/>
  <c r="E44" i="1"/>
  <c r="E41" i="1"/>
  <c r="E39" i="1"/>
  <c r="E38" i="1"/>
  <c r="E37" i="1"/>
  <c r="E36" i="1"/>
  <c r="E34" i="1"/>
  <c r="E33" i="1"/>
  <c r="E32" i="1"/>
  <c r="E31" i="1"/>
  <c r="E27" i="1"/>
  <c r="E26" i="1"/>
  <c r="E25" i="1"/>
  <c r="E24" i="1"/>
  <c r="E22" i="1"/>
  <c r="E21" i="1"/>
  <c r="E20" i="1"/>
  <c r="E19" i="1"/>
  <c r="E15" i="1"/>
  <c r="E14" i="1"/>
  <c r="E13" i="1"/>
  <c r="E12" i="1"/>
  <c r="E5" i="1"/>
  <c r="E4" i="1"/>
  <c r="E3" i="1"/>
  <c r="E2" i="1"/>
  <c r="E7" i="1"/>
  <c r="F7" i="1" s="1"/>
  <c r="E8" i="1"/>
  <c r="E9" i="1"/>
  <c r="F9" i="1" s="1"/>
  <c r="J8" i="1"/>
  <c r="J9" i="1"/>
  <c r="J10" i="1"/>
  <c r="E10" i="1"/>
  <c r="F10" i="1" s="1"/>
  <c r="E76" i="1"/>
  <c r="E75" i="1"/>
  <c r="E74" i="1"/>
  <c r="E73" i="1"/>
  <c r="E70" i="1"/>
  <c r="E69" i="1"/>
  <c r="E68" i="1"/>
  <c r="E67" i="1"/>
  <c r="E96" i="1"/>
  <c r="E95" i="1"/>
  <c r="E94" i="1"/>
  <c r="E93" i="1"/>
  <c r="E90" i="1"/>
  <c r="E89" i="1"/>
  <c r="E88" i="1"/>
  <c r="E87" i="1"/>
  <c r="E81" i="1"/>
  <c r="E82" i="1"/>
  <c r="E83" i="1"/>
  <c r="E80" i="1"/>
  <c r="F41" i="2" l="1"/>
  <c r="F36" i="2"/>
  <c r="F7" i="2"/>
  <c r="F40" i="2"/>
  <c r="F34" i="2"/>
  <c r="F42" i="2"/>
  <c r="F37" i="2"/>
  <c r="F23" i="2"/>
  <c r="F26" i="2"/>
  <c r="F25" i="2"/>
  <c r="F24" i="2"/>
  <c r="F15" i="2"/>
  <c r="F9" i="2"/>
  <c r="F14" i="2"/>
  <c r="F10" i="2"/>
  <c r="F13" i="2"/>
  <c r="F12" i="2"/>
  <c r="F8" i="2"/>
  <c r="F53" i="2"/>
  <c r="F50" i="2"/>
  <c r="F52" i="2"/>
  <c r="F51" i="2"/>
  <c r="F8" i="1"/>
  <c r="K10" i="1"/>
  <c r="K7" i="1"/>
  <c r="P8" i="1"/>
  <c r="P9" i="1"/>
  <c r="P10" i="1"/>
  <c r="K15" i="1"/>
  <c r="K14" i="1"/>
  <c r="K13" i="1"/>
  <c r="K12" i="1"/>
  <c r="K8" i="1"/>
  <c r="K9" i="1"/>
  <c r="P7" i="1"/>
  <c r="F15" i="1"/>
  <c r="F14" i="1"/>
  <c r="F13" i="1"/>
  <c r="F12" i="1"/>
  <c r="F41" i="1"/>
  <c r="F44" i="1"/>
  <c r="F43" i="1"/>
  <c r="F42" i="1"/>
  <c r="F39" i="1"/>
  <c r="F38" i="1"/>
  <c r="F37" i="1"/>
  <c r="F36" i="1"/>
  <c r="F27" i="1"/>
  <c r="F26" i="1"/>
  <c r="F25" i="1"/>
  <c r="F24" i="1"/>
  <c r="H88" i="1"/>
  <c r="H89" i="1"/>
  <c r="H81" i="1"/>
  <c r="H90" i="1"/>
  <c r="H87" i="1"/>
  <c r="H82" i="1"/>
  <c r="H83" i="1"/>
  <c r="H80" i="1"/>
</calcChain>
</file>

<file path=xl/sharedStrings.xml><?xml version="1.0" encoding="utf-8"?>
<sst xmlns="http://schemas.openxmlformats.org/spreadsheetml/2006/main" count="150" uniqueCount="33">
  <si>
    <t>Lane</t>
  </si>
  <si>
    <t>Background</t>
  </si>
  <si>
    <t>Net</t>
  </si>
  <si>
    <t>dmic60 5.6.26</t>
  </si>
  <si>
    <t>Sample</t>
  </si>
  <si>
    <t>W1118</t>
  </si>
  <si>
    <t>MIC60 Null</t>
  </si>
  <si>
    <t>WT Rescue</t>
  </si>
  <si>
    <t>CS Rescue</t>
  </si>
  <si>
    <t>myc 5.6.26_2</t>
  </si>
  <si>
    <t>ponceu 5.5.26</t>
  </si>
  <si>
    <t>Normalized to loading</t>
  </si>
  <si>
    <t>5.6.26</t>
  </si>
  <si>
    <t>5.22.26</t>
  </si>
  <si>
    <t>ATP5B (dmic60)</t>
  </si>
  <si>
    <t>ATP5B (myc) 5.22.26</t>
  </si>
  <si>
    <t>5.12.26</t>
  </si>
  <si>
    <t>Myc</t>
  </si>
  <si>
    <t>dMIC60</t>
  </si>
  <si>
    <t>Move y access too</t>
  </si>
  <si>
    <t>Lighter bands</t>
  </si>
  <si>
    <t>Ponseu</t>
  </si>
  <si>
    <t>5.20.26</t>
  </si>
  <si>
    <t>ATPB (myc)</t>
  </si>
  <si>
    <t>5.28.26</t>
  </si>
  <si>
    <t>myc</t>
  </si>
  <si>
    <t>TO USE</t>
  </si>
  <si>
    <t>d</t>
  </si>
  <si>
    <t>5/12/26 WB</t>
  </si>
  <si>
    <t>5/20/2026 WB</t>
  </si>
  <si>
    <t xml:space="preserve">ATPB </t>
  </si>
  <si>
    <t>5/28/2026 WB</t>
  </si>
  <si>
    <t>6/26/2026 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</si>
</sst>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/>
    <cx:plotArea>
      <cx:plotAreaRegion>
        <cx:series layoutId="boxWhisker" uniqueId="{00000000-23E8-8748-B60D-3147BE053264}">
          <cx:tx>
            <cx:txData>
              <cx:f>_xlchart.v1.1</cx:f>
              <cx:v>5/20/26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23E8-8748-B60D-3147BE053264}">
          <cx:tx>
            <cx:txData>
              <cx:f>_xlchart.v1.3</cx:f>
              <cx:v>5/28/26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23E8-8748-B60D-3147BE053264}">
          <cx:tx>
            <cx:txData>
              <cx:f>_xlchart.v1.5</cx:f>
              <cx:v>6/26/26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_xlchart.v1.21</cx:f>
      </cx:strDim>
      <cx:numDim type="val">
        <cx:f>_xlchart.v1.23</cx:f>
      </cx:numDim>
    </cx:data>
    <cx:data id="1">
      <cx:strDim type="cat">
        <cx:f>_xlchart.v1.21</cx:f>
      </cx:strDim>
      <cx:numDim type="val">
        <cx:f>_xlchart.v1.25</cx:f>
      </cx:numDim>
    </cx:data>
    <cx:data id="2">
      <cx:strDim type="cat">
        <cx:f>_xlchart.v1.21</cx:f>
      </cx:strDim>
      <cx:numDim type="val">
        <cx:f>_xlchart.v1.27</cx:f>
      </cx:numDim>
    </cx:data>
  </cx:chartData>
  <cx:chart>
    <cx:title pos="t" align="ctr" overlay="0">
      <cx:tx>
        <cx:txData>
          <cx:v>myc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myc</a:t>
          </a:r>
        </a:p>
      </cx:txPr>
    </cx:title>
    <cx:plotArea>
      <cx:plotAreaRegion>
        <cx:series layoutId="boxWhisker" uniqueId="{00000000-9243-6240-8AD1-379DDD7B1279}">
          <cx:tx>
            <cx:txData>
              <cx:f>_xlchart.v1.22</cx:f>
              <cx:v>5/12/26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243-6240-8AD1-379DDD7B1279}">
          <cx:tx>
            <cx:txData>
              <cx:f>_xlchart.v1.24</cx:f>
              <cx:v>5/20/26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9243-6240-8AD1-379DDD7B1279}">
          <cx:tx>
            <cx:txData>
              <cx:f>_xlchart.v1.26</cx:f>
              <cx:v>5/28/26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_xlchart.v1.28</cx:f>
      </cx:strDim>
      <cx:numDim type="val">
        <cx:f>_xlchart.v1.29</cx:f>
      </cx:numDim>
    </cx:data>
    <cx:data id="1">
      <cx:strDim type="cat">
        <cx:f>_xlchart.v1.28</cx:f>
      </cx:strDim>
      <cx:numDim type="val">
        <cx:f>_xlchart.v1.30</cx:f>
      </cx:numDim>
    </cx:data>
    <cx:data id="2">
      <cx:strDim type="cat">
        <cx:f>_xlchart.v1.28</cx:f>
      </cx:strDim>
      <cx:numDim type="val">
        <cx:f>_xlchart.v1.31</cx:f>
      </cx:numDim>
    </cx:data>
  </cx:chartData>
  <cx:chart>
    <cx:title pos="t" align="ctr" overlay="0">
      <cx:tx>
        <cx:txData>
          <cx:v>dMIC60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dMIC60</a:t>
          </a:r>
        </a:p>
      </cx:txPr>
    </cx:title>
    <cx:plotArea>
      <cx:plotAreaRegion>
        <cx:series layoutId="boxWhisker" uniqueId="{00000000-4DFC-CA48-ACE1-F1A1EA249A0E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4DFC-CA48-ACE1-F1A1EA249A0E}"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4DFC-CA48-ACE1-F1A1EA249A0E}"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107950</xdr:rowOff>
    </xdr:from>
    <xdr:to>
      <xdr:col>12</xdr:col>
      <xdr:colOff>444500</xdr:colOff>
      <xdr:row>21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6C4ED81-6C61-2A89-D7AA-88CAC9992A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10200" y="1530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397773</xdr:colOff>
      <xdr:row>45</xdr:row>
      <xdr:rowOff>193934</xdr:rowOff>
    </xdr:from>
    <xdr:to>
      <xdr:col>11</xdr:col>
      <xdr:colOff>241220</xdr:colOff>
      <xdr:row>59</xdr:row>
      <xdr:rowOff>141536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EA8E267-F22A-9F6C-9EB2-C3C68FA239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36573" y="9337934"/>
              <a:ext cx="4580547" cy="27924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616391</xdr:colOff>
      <xdr:row>46</xdr:row>
      <xdr:rowOff>131166</xdr:rowOff>
    </xdr:from>
    <xdr:to>
      <xdr:col>17</xdr:col>
      <xdr:colOff>247674</xdr:colOff>
      <xdr:row>60</xdr:row>
      <xdr:rowOff>75255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2C867D0-4219-688F-B92D-6C75AA89F8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55685" y="9753284"/>
              <a:ext cx="4561871" cy="28725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FA22-D82A-C746-BBA2-435943B017EE}">
  <dimension ref="A1:K53"/>
  <sheetViews>
    <sheetView zoomScale="125" workbookViewId="0">
      <selection activeCell="P13" sqref="P13"/>
    </sheetView>
  </sheetViews>
  <sheetFormatPr baseColWidth="10" defaultRowHeight="16" x14ac:dyDescent="0.2"/>
  <cols>
    <col min="1" max="1" width="13" bestFit="1" customWidth="1"/>
    <col min="2" max="2" width="10.1640625" bestFit="1" customWidth="1"/>
    <col min="3" max="4" width="8.5" bestFit="1" customWidth="1"/>
    <col min="5" max="5" width="7.33203125" bestFit="1" customWidth="1"/>
    <col min="6" max="6" width="12.6640625" bestFit="1" customWidth="1"/>
  </cols>
  <sheetData>
    <row r="1" spans="1:11" x14ac:dyDescent="0.2">
      <c r="A1" s="1" t="s">
        <v>28</v>
      </c>
      <c r="H1" t="s">
        <v>25</v>
      </c>
    </row>
    <row r="2" spans="1:11" x14ac:dyDescent="0.2">
      <c r="A2" t="s">
        <v>21</v>
      </c>
      <c r="B2" t="s">
        <v>5</v>
      </c>
      <c r="C2">
        <v>100.965</v>
      </c>
      <c r="D2">
        <v>109.83799999999999</v>
      </c>
      <c r="E2">
        <f>D2-C2</f>
        <v>8.8729999999999905</v>
      </c>
      <c r="I2" s="4">
        <v>46162</v>
      </c>
      <c r="J2" s="4">
        <v>46170</v>
      </c>
      <c r="K2" s="4">
        <v>46199</v>
      </c>
    </row>
    <row r="3" spans="1:11" x14ac:dyDescent="0.2">
      <c r="B3" t="s">
        <v>6</v>
      </c>
      <c r="C3">
        <v>107.43</v>
      </c>
      <c r="D3">
        <v>115.461</v>
      </c>
      <c r="E3">
        <f t="shared" ref="E3:E5" si="0">D3-C3</f>
        <v>8.0309999999999917</v>
      </c>
      <c r="H3" t="s">
        <v>5</v>
      </c>
      <c r="I3">
        <f>F23</f>
        <v>2.0528344724830186E-2</v>
      </c>
      <c r="J3">
        <f>F34</f>
        <v>4.1017916177882016E-2</v>
      </c>
      <c r="K3">
        <f>F50</f>
        <v>0.11424077026213825</v>
      </c>
    </row>
    <row r="4" spans="1:11" x14ac:dyDescent="0.2">
      <c r="B4" t="s">
        <v>7</v>
      </c>
      <c r="C4">
        <v>106.824</v>
      </c>
      <c r="D4">
        <v>112.548</v>
      </c>
      <c r="E4">
        <f t="shared" si="0"/>
        <v>5.7240000000000038</v>
      </c>
      <c r="H4" t="s">
        <v>6</v>
      </c>
      <c r="I4">
        <f>F24</f>
        <v>5.2464228934817135E-2</v>
      </c>
      <c r="J4">
        <f>F35</f>
        <v>4.6615401278024493E-2</v>
      </c>
      <c r="K4">
        <f>F51</f>
        <v>9.1908661382795478E-2</v>
      </c>
    </row>
    <row r="5" spans="1:11" x14ac:dyDescent="0.2">
      <c r="B5" t="s">
        <v>8</v>
      </c>
      <c r="C5">
        <v>110.054</v>
      </c>
      <c r="D5">
        <v>122.4</v>
      </c>
      <c r="E5">
        <f t="shared" si="0"/>
        <v>12.346000000000004</v>
      </c>
      <c r="H5" t="s">
        <v>7</v>
      </c>
      <c r="I5">
        <f>F25</f>
        <v>1.0906670102649998</v>
      </c>
      <c r="J5">
        <f>F36</f>
        <v>1.2124641237429619</v>
      </c>
      <c r="K5">
        <f>F52</f>
        <v>1.7995602503190491</v>
      </c>
    </row>
    <row r="6" spans="1:11" x14ac:dyDescent="0.2">
      <c r="H6" t="s">
        <v>8</v>
      </c>
      <c r="I6">
        <f>F26</f>
        <v>1.2066487671375024</v>
      </c>
      <c r="J6">
        <f>F37</f>
        <v>1.2643599915494941</v>
      </c>
      <c r="K6">
        <f>F53</f>
        <v>0.55819389413072584</v>
      </c>
    </row>
    <row r="7" spans="1:11" x14ac:dyDescent="0.2">
      <c r="A7" t="s">
        <v>17</v>
      </c>
      <c r="B7" t="s">
        <v>5</v>
      </c>
      <c r="C7">
        <v>162.36600000000001</v>
      </c>
      <c r="D7">
        <v>165.76400000000001</v>
      </c>
      <c r="E7">
        <f>D7-C7</f>
        <v>3.3979999999999961</v>
      </c>
      <c r="F7">
        <f>E7/E2</f>
        <v>0.38295954017806827</v>
      </c>
    </row>
    <row r="8" spans="1:11" x14ac:dyDescent="0.2">
      <c r="B8" t="s">
        <v>6</v>
      </c>
      <c r="C8">
        <v>164.393</v>
      </c>
      <c r="D8">
        <v>174.97800000000001</v>
      </c>
      <c r="E8">
        <f t="shared" ref="E8:E10" si="1">D8-C8</f>
        <v>10.585000000000008</v>
      </c>
      <c r="F8">
        <f>E8/E3</f>
        <v>1.3180176814842508</v>
      </c>
    </row>
    <row r="9" spans="1:11" x14ac:dyDescent="0.2">
      <c r="B9" t="s">
        <v>7</v>
      </c>
      <c r="C9">
        <v>175.93799999999999</v>
      </c>
      <c r="D9">
        <v>194.43899999999999</v>
      </c>
      <c r="E9">
        <f t="shared" si="1"/>
        <v>18.501000000000005</v>
      </c>
      <c r="F9">
        <f>E9/E4</f>
        <v>3.2321802935010471</v>
      </c>
    </row>
    <row r="10" spans="1:11" x14ac:dyDescent="0.2">
      <c r="B10" t="s">
        <v>8</v>
      </c>
      <c r="C10">
        <v>195.80799999999999</v>
      </c>
      <c r="D10">
        <v>227.297</v>
      </c>
      <c r="E10">
        <f t="shared" si="1"/>
        <v>31.489000000000004</v>
      </c>
      <c r="F10">
        <f>E10/E5</f>
        <v>2.5505426858901665</v>
      </c>
    </row>
    <row r="12" spans="1:11" x14ac:dyDescent="0.2">
      <c r="A12" t="s">
        <v>18</v>
      </c>
      <c r="B12" t="s">
        <v>5</v>
      </c>
      <c r="C12">
        <v>149.84299999999999</v>
      </c>
      <c r="D12">
        <v>165.76400000000001</v>
      </c>
      <c r="E12">
        <f>D12-C12</f>
        <v>15.921000000000021</v>
      </c>
      <c r="F12">
        <f>E12/E2</f>
        <v>1.7943198467260271</v>
      </c>
    </row>
    <row r="13" spans="1:11" x14ac:dyDescent="0.2">
      <c r="B13" t="s">
        <v>6</v>
      </c>
      <c r="C13">
        <v>167.245</v>
      </c>
      <c r="D13">
        <v>174.97800000000001</v>
      </c>
      <c r="E13">
        <f t="shared" ref="E13:E15" si="2">D13-C13</f>
        <v>7.7330000000000041</v>
      </c>
      <c r="F13">
        <f t="shared" ref="F13:F15" si="3">E13/E3</f>
        <v>0.96289378657701552</v>
      </c>
    </row>
    <row r="14" spans="1:11" x14ac:dyDescent="0.2">
      <c r="B14" t="s">
        <v>7</v>
      </c>
      <c r="C14">
        <v>139.11099999999999</v>
      </c>
      <c r="D14">
        <v>194.43899999999999</v>
      </c>
      <c r="E14">
        <f t="shared" si="2"/>
        <v>55.328000000000003</v>
      </c>
      <c r="F14">
        <f t="shared" si="3"/>
        <v>9.6659678546470946</v>
      </c>
    </row>
    <row r="15" spans="1:11" x14ac:dyDescent="0.2">
      <c r="B15" t="s">
        <v>8</v>
      </c>
      <c r="C15">
        <v>151.59700000000001</v>
      </c>
      <c r="D15">
        <v>227.297</v>
      </c>
      <c r="E15">
        <f t="shared" si="2"/>
        <v>75.699999999999989</v>
      </c>
      <c r="F15">
        <f t="shared" si="3"/>
        <v>6.131540579944919</v>
      </c>
    </row>
    <row r="17" spans="1:6" x14ac:dyDescent="0.2">
      <c r="A17" s="3" t="s">
        <v>29</v>
      </c>
    </row>
    <row r="18" spans="1:6" x14ac:dyDescent="0.2">
      <c r="A18" t="s">
        <v>23</v>
      </c>
      <c r="B18" t="s">
        <v>5</v>
      </c>
      <c r="C18">
        <v>177.62299999999999</v>
      </c>
      <c r="D18">
        <v>219.90600000000001</v>
      </c>
      <c r="E18">
        <f>D18-C18</f>
        <v>42.283000000000015</v>
      </c>
    </row>
    <row r="19" spans="1:6" x14ac:dyDescent="0.2">
      <c r="B19" t="s">
        <v>6</v>
      </c>
      <c r="C19">
        <v>126.619</v>
      </c>
      <c r="D19">
        <v>210.905</v>
      </c>
      <c r="E19">
        <f t="shared" ref="E19:E21" si="4">D19-C19</f>
        <v>84.286000000000001</v>
      </c>
    </row>
    <row r="20" spans="1:6" x14ac:dyDescent="0.2">
      <c r="B20" t="s">
        <v>7</v>
      </c>
      <c r="C20">
        <v>171.45599999999999</v>
      </c>
      <c r="D20">
        <v>218.02199999999999</v>
      </c>
      <c r="E20">
        <f t="shared" si="4"/>
        <v>46.566000000000003</v>
      </c>
    </row>
    <row r="21" spans="1:6" x14ac:dyDescent="0.2">
      <c r="B21" t="s">
        <v>8</v>
      </c>
      <c r="C21">
        <v>137.69900000000001</v>
      </c>
      <c r="D21">
        <v>214.79599999999999</v>
      </c>
      <c r="E21">
        <f t="shared" si="4"/>
        <v>77.09699999999998</v>
      </c>
    </row>
    <row r="23" spans="1:6" x14ac:dyDescent="0.2">
      <c r="A23" t="s">
        <v>17</v>
      </c>
      <c r="B23" t="s">
        <v>5</v>
      </c>
      <c r="C23">
        <v>234.328</v>
      </c>
      <c r="D23">
        <v>235.196</v>
      </c>
      <c r="E23">
        <f>D23-C23</f>
        <v>0.867999999999995</v>
      </c>
      <c r="F23">
        <f>E23/E18</f>
        <v>2.0528344724830186E-2</v>
      </c>
    </row>
    <row r="24" spans="1:6" x14ac:dyDescent="0.2">
      <c r="B24" t="s">
        <v>6</v>
      </c>
      <c r="C24">
        <v>227.81800000000001</v>
      </c>
      <c r="D24">
        <v>232.24</v>
      </c>
      <c r="E24">
        <f t="shared" ref="E24:E26" si="5">D24-C24</f>
        <v>4.421999999999997</v>
      </c>
      <c r="F24">
        <f t="shared" ref="F24:F26" si="6">E24/E19</f>
        <v>5.2464228934817135E-2</v>
      </c>
    </row>
    <row r="25" spans="1:6" x14ac:dyDescent="0.2">
      <c r="B25" t="s">
        <v>7</v>
      </c>
      <c r="C25">
        <v>169.44300000000001</v>
      </c>
      <c r="D25">
        <v>220.23099999999999</v>
      </c>
      <c r="E25">
        <f t="shared" si="5"/>
        <v>50.787999999999982</v>
      </c>
      <c r="F25">
        <f t="shared" si="6"/>
        <v>1.0906670102649998</v>
      </c>
    </row>
    <row r="26" spans="1:6" x14ac:dyDescent="0.2">
      <c r="B26" t="s">
        <v>8</v>
      </c>
      <c r="C26">
        <v>115.172</v>
      </c>
      <c r="D26">
        <v>208.20099999999999</v>
      </c>
      <c r="E26">
        <f t="shared" si="5"/>
        <v>93.028999999999996</v>
      </c>
      <c r="F26">
        <f t="shared" si="6"/>
        <v>1.2066487671375024</v>
      </c>
    </row>
    <row r="28" spans="1:6" x14ac:dyDescent="0.2">
      <c r="A28" s="3" t="s">
        <v>31</v>
      </c>
    </row>
    <row r="29" spans="1:6" x14ac:dyDescent="0.2">
      <c r="A29" t="s">
        <v>23</v>
      </c>
      <c r="B29" t="s">
        <v>5</v>
      </c>
      <c r="C29">
        <v>128.30799999999999</v>
      </c>
      <c r="D29">
        <v>203.32400000000001</v>
      </c>
      <c r="E29">
        <f t="shared" ref="E29:E32" si="7">D29-C29</f>
        <v>75.01600000000002</v>
      </c>
    </row>
    <row r="30" spans="1:6" x14ac:dyDescent="0.2">
      <c r="B30" t="s">
        <v>6</v>
      </c>
      <c r="C30">
        <v>98.262</v>
      </c>
      <c r="D30">
        <v>190.59200000000001</v>
      </c>
      <c r="E30">
        <f t="shared" si="7"/>
        <v>92.330000000000013</v>
      </c>
    </row>
    <row r="31" spans="1:6" x14ac:dyDescent="0.2">
      <c r="B31" t="s">
        <v>7</v>
      </c>
      <c r="C31">
        <v>101.69</v>
      </c>
      <c r="D31">
        <v>192.976</v>
      </c>
      <c r="E31">
        <f t="shared" si="7"/>
        <v>91.286000000000001</v>
      </c>
    </row>
    <row r="32" spans="1:6" x14ac:dyDescent="0.2">
      <c r="B32" t="s">
        <v>8</v>
      </c>
      <c r="C32">
        <v>117.072</v>
      </c>
      <c r="D32">
        <v>202.274</v>
      </c>
      <c r="E32">
        <f t="shared" si="7"/>
        <v>85.201999999999998</v>
      </c>
    </row>
    <row r="34" spans="1:6" x14ac:dyDescent="0.2">
      <c r="A34" t="s">
        <v>17</v>
      </c>
      <c r="B34" t="s">
        <v>5</v>
      </c>
      <c r="C34">
        <v>193.33600000000001</v>
      </c>
      <c r="D34">
        <v>196.41300000000001</v>
      </c>
      <c r="E34">
        <f t="shared" ref="E34:E42" si="8">D34-C34</f>
        <v>3.0769999999999982</v>
      </c>
      <c r="F34">
        <f>E34/E29</f>
        <v>4.1017916177882016E-2</v>
      </c>
    </row>
    <row r="35" spans="1:6" x14ac:dyDescent="0.2">
      <c r="B35" t="s">
        <v>6</v>
      </c>
      <c r="C35">
        <v>191.88200000000001</v>
      </c>
      <c r="D35">
        <v>196.18600000000001</v>
      </c>
      <c r="E35">
        <f t="shared" si="8"/>
        <v>4.304000000000002</v>
      </c>
      <c r="F35">
        <f t="shared" ref="F35:F37" si="9">E35/E30</f>
        <v>4.6615401278024493E-2</v>
      </c>
    </row>
    <row r="36" spans="1:6" x14ac:dyDescent="0.2">
      <c r="B36" t="s">
        <v>7</v>
      </c>
      <c r="C36">
        <v>84.064999999999998</v>
      </c>
      <c r="D36">
        <v>194.74600000000001</v>
      </c>
      <c r="E36">
        <f t="shared" si="8"/>
        <v>110.68100000000001</v>
      </c>
      <c r="F36">
        <f t="shared" si="9"/>
        <v>1.2124641237429619</v>
      </c>
    </row>
    <row r="37" spans="1:6" x14ac:dyDescent="0.2">
      <c r="B37" t="s">
        <v>8</v>
      </c>
      <c r="C37">
        <v>87.456000000000003</v>
      </c>
      <c r="D37">
        <v>195.18199999999999</v>
      </c>
      <c r="E37">
        <f t="shared" si="8"/>
        <v>107.72599999999998</v>
      </c>
      <c r="F37">
        <f t="shared" si="9"/>
        <v>1.2643599915494941</v>
      </c>
    </row>
    <row r="39" spans="1:6" x14ac:dyDescent="0.2">
      <c r="A39" t="s">
        <v>18</v>
      </c>
      <c r="B39" t="s">
        <v>5</v>
      </c>
      <c r="C39">
        <v>81.668999999999997</v>
      </c>
      <c r="D39">
        <v>90.542000000000002</v>
      </c>
      <c r="E39">
        <f t="shared" si="8"/>
        <v>8.8730000000000047</v>
      </c>
      <c r="F39">
        <f>E39/E29</f>
        <v>0.11828143329423059</v>
      </c>
    </row>
    <row r="40" spans="1:6" x14ac:dyDescent="0.2">
      <c r="B40" t="s">
        <v>6</v>
      </c>
      <c r="C40">
        <v>74.858999999999995</v>
      </c>
      <c r="D40">
        <v>76.849000000000004</v>
      </c>
      <c r="E40">
        <f t="shared" si="8"/>
        <v>1.9900000000000091</v>
      </c>
      <c r="F40">
        <f t="shared" ref="F40:F42" si="10">E40/E30</f>
        <v>2.1553124661540222E-2</v>
      </c>
    </row>
    <row r="41" spans="1:6" x14ac:dyDescent="0.2">
      <c r="B41" t="s">
        <v>7</v>
      </c>
      <c r="C41">
        <v>79.680000000000007</v>
      </c>
      <c r="D41">
        <v>115.598</v>
      </c>
      <c r="E41">
        <f t="shared" si="8"/>
        <v>35.917999999999992</v>
      </c>
      <c r="F41">
        <f t="shared" si="10"/>
        <v>0.3934666871152202</v>
      </c>
    </row>
    <row r="42" spans="1:6" x14ac:dyDescent="0.2">
      <c r="B42" t="s">
        <v>8</v>
      </c>
      <c r="C42">
        <v>82.986999999999995</v>
      </c>
      <c r="D42">
        <v>106.919</v>
      </c>
      <c r="E42">
        <f t="shared" si="8"/>
        <v>23.932000000000002</v>
      </c>
      <c r="F42">
        <f t="shared" si="10"/>
        <v>0.28088542522476001</v>
      </c>
    </row>
    <row r="44" spans="1:6" x14ac:dyDescent="0.2">
      <c r="A44" s="3" t="s">
        <v>32</v>
      </c>
    </row>
    <row r="45" spans="1:6" x14ac:dyDescent="0.2">
      <c r="A45" t="s">
        <v>30</v>
      </c>
      <c r="B45" t="s">
        <v>5</v>
      </c>
      <c r="C45">
        <v>123.018</v>
      </c>
      <c r="D45">
        <v>217.739</v>
      </c>
      <c r="E45">
        <f>D45-C45</f>
        <v>94.721000000000004</v>
      </c>
    </row>
    <row r="46" spans="1:6" x14ac:dyDescent="0.2">
      <c r="B46" t="s">
        <v>6</v>
      </c>
      <c r="C46">
        <v>124.41800000000001</v>
      </c>
      <c r="D46">
        <v>215.63900000000001</v>
      </c>
      <c r="E46">
        <f>D46-C46</f>
        <v>91.221000000000004</v>
      </c>
    </row>
    <row r="47" spans="1:6" x14ac:dyDescent="0.2">
      <c r="B47" t="s">
        <v>7</v>
      </c>
      <c r="C47">
        <v>157.947</v>
      </c>
      <c r="D47">
        <v>222.98400000000001</v>
      </c>
      <c r="E47">
        <f>D47-C47</f>
        <v>65.037000000000006</v>
      </c>
    </row>
    <row r="48" spans="1:6" x14ac:dyDescent="0.2">
      <c r="B48" t="s">
        <v>8</v>
      </c>
      <c r="C48">
        <v>154.18</v>
      </c>
      <c r="D48">
        <v>224.34200000000001</v>
      </c>
      <c r="E48">
        <f>D48-C48</f>
        <v>70.162000000000006</v>
      </c>
    </row>
    <row r="50" spans="1:6" x14ac:dyDescent="0.2">
      <c r="A50" t="s">
        <v>17</v>
      </c>
      <c r="B50" t="s">
        <v>5</v>
      </c>
      <c r="C50">
        <v>222.74799999999999</v>
      </c>
      <c r="D50">
        <v>233.56899999999999</v>
      </c>
      <c r="E50">
        <f>D50-C50</f>
        <v>10.820999999999998</v>
      </c>
      <c r="F50">
        <f>E50/E45</f>
        <v>0.11424077026213825</v>
      </c>
    </row>
    <row r="51" spans="1:6" x14ac:dyDescent="0.2">
      <c r="B51" t="s">
        <v>6</v>
      </c>
      <c r="C51">
        <v>223.542</v>
      </c>
      <c r="D51">
        <v>231.92599999999999</v>
      </c>
      <c r="E51">
        <f>D51-C51</f>
        <v>8.3839999999999861</v>
      </c>
      <c r="F51">
        <f>E51/E46</f>
        <v>9.1908661382795478E-2</v>
      </c>
    </row>
    <row r="52" spans="1:6" x14ac:dyDescent="0.2">
      <c r="B52" t="s">
        <v>7</v>
      </c>
      <c r="C52">
        <v>103.68899999999999</v>
      </c>
      <c r="D52">
        <v>220.727</v>
      </c>
      <c r="E52">
        <f>D52-C52</f>
        <v>117.03800000000001</v>
      </c>
      <c r="F52">
        <f>E52/E47</f>
        <v>1.7995602503190491</v>
      </c>
    </row>
    <row r="53" spans="1:6" x14ac:dyDescent="0.2">
      <c r="B53" t="s">
        <v>8</v>
      </c>
      <c r="C53">
        <v>183.709</v>
      </c>
      <c r="D53">
        <v>222.87299999999999</v>
      </c>
      <c r="E53">
        <f>D53-C53</f>
        <v>39.163999999999987</v>
      </c>
      <c r="F53">
        <f>E53/E48</f>
        <v>0.55819389413072584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D8CEB-FA3D-E74C-A791-DA0EC10721E0}">
  <dimension ref="A1:P96"/>
  <sheetViews>
    <sheetView tabSelected="1" zoomScaleNormal="133" workbookViewId="0">
      <selection activeCell="C28" sqref="C28"/>
    </sheetView>
  </sheetViews>
  <sheetFormatPr baseColWidth="10" defaultRowHeight="16" x14ac:dyDescent="0.2"/>
  <cols>
    <col min="1" max="1" width="17.83203125" bestFit="1" customWidth="1"/>
    <col min="3" max="3" width="12.83203125" bestFit="1" customWidth="1"/>
    <col min="8" max="8" width="18.83203125" bestFit="1" customWidth="1"/>
  </cols>
  <sheetData>
    <row r="1" spans="1:16" x14ac:dyDescent="0.2">
      <c r="A1" s="1" t="s">
        <v>16</v>
      </c>
      <c r="H1" t="s">
        <v>19</v>
      </c>
    </row>
    <row r="2" spans="1:16" x14ac:dyDescent="0.2">
      <c r="A2" t="s">
        <v>21</v>
      </c>
      <c r="B2" t="s">
        <v>5</v>
      </c>
      <c r="C2">
        <v>104.8</v>
      </c>
      <c r="D2">
        <v>115.565</v>
      </c>
      <c r="E2">
        <f t="shared" ref="E2:E5" si="0">D2-C2</f>
        <v>10.765000000000001</v>
      </c>
      <c r="H2">
        <v>100.965</v>
      </c>
      <c r="I2">
        <v>109.83799999999999</v>
      </c>
      <c r="J2">
        <f>I2-H2</f>
        <v>8.8729999999999905</v>
      </c>
    </row>
    <row r="3" spans="1:16" x14ac:dyDescent="0.2">
      <c r="B3" t="s">
        <v>6</v>
      </c>
      <c r="C3">
        <v>110.65600000000001</v>
      </c>
      <c r="D3">
        <v>118.461</v>
      </c>
      <c r="E3">
        <f t="shared" si="0"/>
        <v>7.8049999999999926</v>
      </c>
      <c r="H3">
        <v>107.43</v>
      </c>
      <c r="I3">
        <v>115.461</v>
      </c>
      <c r="J3">
        <f t="shared" ref="J3:J5" si="1">I3-H3</f>
        <v>8.0309999999999917</v>
      </c>
    </row>
    <row r="4" spans="1:16" x14ac:dyDescent="0.2">
      <c r="B4" t="s">
        <v>7</v>
      </c>
      <c r="C4">
        <v>108.883</v>
      </c>
      <c r="D4">
        <v>114.529</v>
      </c>
      <c r="E4">
        <f t="shared" si="0"/>
        <v>5.6460000000000008</v>
      </c>
      <c r="H4">
        <v>106.824</v>
      </c>
      <c r="I4">
        <v>112.548</v>
      </c>
      <c r="J4">
        <f t="shared" si="1"/>
        <v>5.7240000000000038</v>
      </c>
    </row>
    <row r="5" spans="1:16" x14ac:dyDescent="0.2">
      <c r="B5" t="s">
        <v>8</v>
      </c>
      <c r="C5">
        <v>112.24299999999999</v>
      </c>
      <c r="D5">
        <v>113.82599999999999</v>
      </c>
      <c r="E5">
        <f t="shared" si="0"/>
        <v>1.5829999999999984</v>
      </c>
      <c r="H5">
        <v>110.054</v>
      </c>
      <c r="I5">
        <v>122.4</v>
      </c>
      <c r="J5">
        <f t="shared" si="1"/>
        <v>12.346000000000004</v>
      </c>
    </row>
    <row r="6" spans="1:16" x14ac:dyDescent="0.2">
      <c r="H6" t="s">
        <v>19</v>
      </c>
      <c r="M6" t="s">
        <v>20</v>
      </c>
    </row>
    <row r="7" spans="1:16" x14ac:dyDescent="0.2">
      <c r="A7" t="s">
        <v>17</v>
      </c>
      <c r="B7" t="s">
        <v>5</v>
      </c>
      <c r="C7">
        <v>162.59299999999999</v>
      </c>
      <c r="D7">
        <v>219.11500000000001</v>
      </c>
      <c r="E7">
        <f t="shared" ref="E7:E15" si="2">D7-C7</f>
        <v>56.52200000000002</v>
      </c>
      <c r="F7">
        <f>E7/E2</f>
        <v>5.2505341384115205</v>
      </c>
      <c r="H7">
        <v>152.29300000000001</v>
      </c>
      <c r="I7">
        <v>221.06299999999999</v>
      </c>
      <c r="J7">
        <f>I7-H7</f>
        <v>68.769999999999982</v>
      </c>
      <c r="K7">
        <f>J7/J2</f>
        <v>7.7504789811788637</v>
      </c>
      <c r="M7">
        <v>162.36600000000001</v>
      </c>
      <c r="N7">
        <v>165.76400000000001</v>
      </c>
      <c r="O7">
        <f>N7-M7</f>
        <v>3.3979999999999961</v>
      </c>
      <c r="P7">
        <f>O7/J2</f>
        <v>0.38295954017806827</v>
      </c>
    </row>
    <row r="8" spans="1:16" x14ac:dyDescent="0.2">
      <c r="B8" t="s">
        <v>6</v>
      </c>
      <c r="C8">
        <v>220.721</v>
      </c>
      <c r="D8">
        <v>220.87899999999999</v>
      </c>
      <c r="E8">
        <f t="shared" si="2"/>
        <v>0.15799999999998704</v>
      </c>
      <c r="F8">
        <f t="shared" ref="F8:F10" si="3">E8/E3</f>
        <v>2.0243433696346853E-2</v>
      </c>
      <c r="H8">
        <v>218.44900000000001</v>
      </c>
      <c r="I8">
        <v>221.584</v>
      </c>
      <c r="J8">
        <f t="shared" ref="J8:J10" si="4">I8-H8</f>
        <v>3.1349999999999909</v>
      </c>
      <c r="K8">
        <f t="shared" ref="K8:K10" si="5">J8/J3</f>
        <v>0.39036234590959956</v>
      </c>
      <c r="M8">
        <v>164.393</v>
      </c>
      <c r="N8">
        <v>174.97800000000001</v>
      </c>
      <c r="O8">
        <f t="shared" ref="O8:O10" si="6">N8-M8</f>
        <v>10.585000000000008</v>
      </c>
      <c r="P8">
        <f t="shared" ref="P8:P10" si="7">O8/J3</f>
        <v>1.3180176814842508</v>
      </c>
    </row>
    <row r="9" spans="1:16" x14ac:dyDescent="0.2">
      <c r="B9" t="s">
        <v>7</v>
      </c>
      <c r="C9">
        <v>210.5</v>
      </c>
      <c r="D9">
        <v>230.39099999999999</v>
      </c>
      <c r="E9">
        <f t="shared" si="2"/>
        <v>19.890999999999991</v>
      </c>
      <c r="F9">
        <f t="shared" si="3"/>
        <v>3.5230251505490591</v>
      </c>
      <c r="H9">
        <v>205.994</v>
      </c>
      <c r="I9">
        <v>230.441</v>
      </c>
      <c r="J9">
        <f t="shared" si="4"/>
        <v>24.447000000000003</v>
      </c>
      <c r="K9">
        <f t="shared" si="5"/>
        <v>4.2709643605869996</v>
      </c>
      <c r="M9">
        <v>175.93799999999999</v>
      </c>
      <c r="N9">
        <v>194.43899999999999</v>
      </c>
      <c r="O9">
        <f t="shared" si="6"/>
        <v>18.501000000000005</v>
      </c>
      <c r="P9">
        <f t="shared" si="7"/>
        <v>3.2321802935010471</v>
      </c>
    </row>
    <row r="10" spans="1:16" x14ac:dyDescent="0.2">
      <c r="B10" t="s">
        <v>8</v>
      </c>
      <c r="C10">
        <v>199.59899999999999</v>
      </c>
      <c r="D10">
        <v>230.559</v>
      </c>
      <c r="E10">
        <f t="shared" si="2"/>
        <v>30.960000000000008</v>
      </c>
      <c r="F10">
        <f t="shared" si="3"/>
        <v>19.557801642451068</v>
      </c>
      <c r="H10">
        <v>193.08699999999999</v>
      </c>
      <c r="I10">
        <v>230.785</v>
      </c>
      <c r="J10">
        <f t="shared" si="4"/>
        <v>37.698000000000008</v>
      </c>
      <c r="K10">
        <f t="shared" si="5"/>
        <v>3.0534586100761376</v>
      </c>
      <c r="M10">
        <v>195.80799999999999</v>
      </c>
      <c r="N10">
        <v>227.297</v>
      </c>
      <c r="O10">
        <f t="shared" si="6"/>
        <v>31.489000000000004</v>
      </c>
      <c r="P10">
        <f t="shared" si="7"/>
        <v>2.5505426858901665</v>
      </c>
    </row>
    <row r="11" spans="1:16" x14ac:dyDescent="0.2">
      <c r="H11" t="s">
        <v>19</v>
      </c>
    </row>
    <row r="12" spans="1:16" x14ac:dyDescent="0.2">
      <c r="A12" t="s">
        <v>18</v>
      </c>
      <c r="B12" t="s">
        <v>5</v>
      </c>
      <c r="C12">
        <v>140.01900000000001</v>
      </c>
      <c r="D12">
        <v>166.4</v>
      </c>
      <c r="E12">
        <f t="shared" si="2"/>
        <v>26.381</v>
      </c>
      <c r="F12">
        <f>E12/E2</f>
        <v>2.4506270320483048</v>
      </c>
      <c r="H12">
        <v>149.84299999999999</v>
      </c>
      <c r="I12">
        <v>165.76400000000001</v>
      </c>
      <c r="J12">
        <f>I12-H12</f>
        <v>15.921000000000021</v>
      </c>
      <c r="K12">
        <f>J12/J2</f>
        <v>1.7943198467260271</v>
      </c>
    </row>
    <row r="13" spans="1:16" x14ac:dyDescent="0.2">
      <c r="B13" t="s">
        <v>6</v>
      </c>
      <c r="C13">
        <v>167.12899999999999</v>
      </c>
      <c r="D13">
        <v>175.197</v>
      </c>
      <c r="E13">
        <f t="shared" si="2"/>
        <v>8.0680000000000121</v>
      </c>
      <c r="F13">
        <f t="shared" ref="F13:F15" si="8">E13/E3</f>
        <v>1.0336963484945574</v>
      </c>
      <c r="H13">
        <v>167.245</v>
      </c>
      <c r="I13">
        <v>174.97800000000001</v>
      </c>
      <c r="J13">
        <f t="shared" ref="J13:J15" si="9">I13-H13</f>
        <v>7.7330000000000041</v>
      </c>
      <c r="K13">
        <f t="shared" ref="K13:K15" si="10">J13/J3</f>
        <v>0.96289378657701552</v>
      </c>
    </row>
    <row r="14" spans="1:16" x14ac:dyDescent="0.2">
      <c r="B14" t="s">
        <v>7</v>
      </c>
      <c r="C14">
        <v>139.75399999999999</v>
      </c>
      <c r="D14">
        <v>195.14699999999999</v>
      </c>
      <c r="E14">
        <f t="shared" si="2"/>
        <v>55.393000000000001</v>
      </c>
      <c r="F14">
        <f t="shared" si="8"/>
        <v>9.811016648955011</v>
      </c>
      <c r="H14">
        <v>139.11099999999999</v>
      </c>
      <c r="I14">
        <v>194.43899999999999</v>
      </c>
      <c r="J14">
        <f t="shared" si="9"/>
        <v>55.328000000000003</v>
      </c>
      <c r="K14">
        <f t="shared" si="10"/>
        <v>9.6659678546470946</v>
      </c>
    </row>
    <row r="15" spans="1:16" x14ac:dyDescent="0.2">
      <c r="B15" t="s">
        <v>8</v>
      </c>
      <c r="C15">
        <v>150.39500000000001</v>
      </c>
      <c r="D15">
        <v>226.441</v>
      </c>
      <c r="E15">
        <f t="shared" si="2"/>
        <v>76.045999999999992</v>
      </c>
      <c r="F15">
        <f t="shared" si="8"/>
        <v>48.039166140240091</v>
      </c>
      <c r="H15">
        <v>151.59700000000001</v>
      </c>
      <c r="I15">
        <v>227.297</v>
      </c>
      <c r="J15">
        <f t="shared" si="9"/>
        <v>75.699999999999989</v>
      </c>
      <c r="K15">
        <f t="shared" si="10"/>
        <v>6.131540579944919</v>
      </c>
    </row>
    <row r="18" spans="1:6" x14ac:dyDescent="0.2">
      <c r="A18" s="1" t="s">
        <v>22</v>
      </c>
    </row>
    <row r="19" spans="1:6" x14ac:dyDescent="0.2">
      <c r="A19" t="s">
        <v>23</v>
      </c>
      <c r="B19" t="s">
        <v>5</v>
      </c>
      <c r="C19">
        <v>179.37</v>
      </c>
      <c r="D19">
        <v>220.76</v>
      </c>
      <c r="E19">
        <f t="shared" ref="E19:E22" si="11">D19-C19</f>
        <v>41.389999999999986</v>
      </c>
    </row>
    <row r="20" spans="1:6" x14ac:dyDescent="0.2">
      <c r="B20" t="s">
        <v>6</v>
      </c>
      <c r="C20">
        <v>133.018</v>
      </c>
      <c r="D20">
        <v>212.536</v>
      </c>
      <c r="E20">
        <f t="shared" si="11"/>
        <v>79.518000000000001</v>
      </c>
    </row>
    <row r="21" spans="1:6" x14ac:dyDescent="0.2">
      <c r="B21" t="s">
        <v>7</v>
      </c>
      <c r="C21">
        <v>173.63399999999999</v>
      </c>
      <c r="D21">
        <v>218.53399999999999</v>
      </c>
      <c r="E21">
        <f t="shared" si="11"/>
        <v>44.900000000000006</v>
      </c>
    </row>
    <row r="22" spans="1:6" x14ac:dyDescent="0.2">
      <c r="B22" t="s">
        <v>8</v>
      </c>
      <c r="C22">
        <v>141.148</v>
      </c>
      <c r="D22">
        <v>214.22499999999999</v>
      </c>
      <c r="E22">
        <f t="shared" si="11"/>
        <v>73.076999999999998</v>
      </c>
    </row>
    <row r="24" spans="1:6" x14ac:dyDescent="0.2">
      <c r="A24" t="s">
        <v>17</v>
      </c>
      <c r="B24" t="s">
        <v>5</v>
      </c>
      <c r="C24">
        <v>234.28</v>
      </c>
      <c r="D24">
        <v>235.45</v>
      </c>
      <c r="E24">
        <f t="shared" ref="E24:E27" si="12">D24-C24</f>
        <v>1.1699999999999875</v>
      </c>
      <c r="F24">
        <f>E24/E19</f>
        <v>2.8267697511475908E-2</v>
      </c>
    </row>
    <row r="25" spans="1:6" x14ac:dyDescent="0.2">
      <c r="B25" t="s">
        <v>6</v>
      </c>
      <c r="C25">
        <v>228.27</v>
      </c>
      <c r="D25">
        <v>232.595</v>
      </c>
      <c r="E25">
        <f t="shared" si="12"/>
        <v>4.3249999999999886</v>
      </c>
      <c r="F25">
        <f t="shared" ref="F25:F27" si="13">E25/E20</f>
        <v>5.4390200960788608E-2</v>
      </c>
    </row>
    <row r="26" spans="1:6" x14ac:dyDescent="0.2">
      <c r="B26" t="s">
        <v>7</v>
      </c>
      <c r="C26">
        <v>166.452</v>
      </c>
      <c r="D26">
        <v>222.85599999999999</v>
      </c>
      <c r="E26">
        <f t="shared" si="12"/>
        <v>56.403999999999996</v>
      </c>
      <c r="F26">
        <f t="shared" si="13"/>
        <v>1.2562138084632515</v>
      </c>
    </row>
    <row r="27" spans="1:6" x14ac:dyDescent="0.2">
      <c r="B27" t="s">
        <v>8</v>
      </c>
      <c r="C27">
        <v>113.127</v>
      </c>
      <c r="D27">
        <v>215.547</v>
      </c>
      <c r="E27">
        <f t="shared" si="12"/>
        <v>102.42</v>
      </c>
      <c r="F27">
        <f t="shared" si="13"/>
        <v>1.4015353668048771</v>
      </c>
    </row>
    <row r="30" spans="1:6" x14ac:dyDescent="0.2">
      <c r="A30" s="1" t="s">
        <v>24</v>
      </c>
    </row>
    <row r="31" spans="1:6" x14ac:dyDescent="0.2">
      <c r="A31" t="s">
        <v>23</v>
      </c>
      <c r="B31" t="s">
        <v>5</v>
      </c>
      <c r="C31">
        <v>128.30799999999999</v>
      </c>
      <c r="D31">
        <v>203.32400000000001</v>
      </c>
      <c r="E31">
        <f t="shared" ref="E31:E34" si="14">D31-C31</f>
        <v>75.01600000000002</v>
      </c>
    </row>
    <row r="32" spans="1:6" x14ac:dyDescent="0.2">
      <c r="B32" t="s">
        <v>6</v>
      </c>
      <c r="C32">
        <v>98.262</v>
      </c>
      <c r="D32">
        <v>190.59200000000001</v>
      </c>
      <c r="E32">
        <f t="shared" si="14"/>
        <v>92.330000000000013</v>
      </c>
    </row>
    <row r="33" spans="1:6" x14ac:dyDescent="0.2">
      <c r="B33" t="s">
        <v>7</v>
      </c>
      <c r="C33">
        <v>101.69</v>
      </c>
      <c r="D33">
        <v>192.976</v>
      </c>
      <c r="E33">
        <f t="shared" si="14"/>
        <v>91.286000000000001</v>
      </c>
    </row>
    <row r="34" spans="1:6" x14ac:dyDescent="0.2">
      <c r="B34" t="s">
        <v>8</v>
      </c>
      <c r="C34">
        <v>117.072</v>
      </c>
      <c r="D34">
        <v>202.274</v>
      </c>
      <c r="E34">
        <f t="shared" si="14"/>
        <v>85.201999999999998</v>
      </c>
    </row>
    <row r="36" spans="1:6" x14ac:dyDescent="0.2">
      <c r="A36" t="s">
        <v>17</v>
      </c>
      <c r="B36" t="s">
        <v>5</v>
      </c>
      <c r="C36">
        <v>193.33600000000001</v>
      </c>
      <c r="D36">
        <v>196.41300000000001</v>
      </c>
      <c r="E36">
        <f t="shared" ref="E36:E44" si="15">D36-C36</f>
        <v>3.0769999999999982</v>
      </c>
      <c r="F36">
        <f>E36/E31</f>
        <v>4.1017916177882016E-2</v>
      </c>
    </row>
    <row r="37" spans="1:6" x14ac:dyDescent="0.2">
      <c r="B37" t="s">
        <v>6</v>
      </c>
      <c r="C37">
        <v>191.88200000000001</v>
      </c>
      <c r="D37">
        <v>196.18600000000001</v>
      </c>
      <c r="E37">
        <f t="shared" si="15"/>
        <v>4.304000000000002</v>
      </c>
      <c r="F37">
        <f t="shared" ref="F37:F39" si="16">E37/E32</f>
        <v>4.6615401278024493E-2</v>
      </c>
    </row>
    <row r="38" spans="1:6" x14ac:dyDescent="0.2">
      <c r="B38" t="s">
        <v>7</v>
      </c>
      <c r="C38">
        <v>84.064999999999998</v>
      </c>
      <c r="D38">
        <v>194.74600000000001</v>
      </c>
      <c r="E38">
        <f t="shared" si="15"/>
        <v>110.68100000000001</v>
      </c>
      <c r="F38">
        <f t="shared" si="16"/>
        <v>1.2124641237429619</v>
      </c>
    </row>
    <row r="39" spans="1:6" x14ac:dyDescent="0.2">
      <c r="B39" t="s">
        <v>8</v>
      </c>
      <c r="C39">
        <v>87.456000000000003</v>
      </c>
      <c r="D39">
        <v>195.18199999999999</v>
      </c>
      <c r="E39">
        <f t="shared" si="15"/>
        <v>107.72599999999998</v>
      </c>
      <c r="F39">
        <f t="shared" si="16"/>
        <v>1.2643599915494941</v>
      </c>
    </row>
    <row r="41" spans="1:6" x14ac:dyDescent="0.2">
      <c r="A41" t="s">
        <v>18</v>
      </c>
      <c r="B41" t="s">
        <v>5</v>
      </c>
      <c r="C41">
        <v>81.668999999999997</v>
      </c>
      <c r="D41">
        <v>90.542000000000002</v>
      </c>
      <c r="E41">
        <f t="shared" si="15"/>
        <v>8.8730000000000047</v>
      </c>
      <c r="F41">
        <f>E41/E31</f>
        <v>0.11828143329423059</v>
      </c>
    </row>
    <row r="42" spans="1:6" x14ac:dyDescent="0.2">
      <c r="B42" t="s">
        <v>6</v>
      </c>
      <c r="C42">
        <v>74.858999999999995</v>
      </c>
      <c r="D42">
        <v>76.849000000000004</v>
      </c>
      <c r="E42">
        <f t="shared" si="15"/>
        <v>1.9900000000000091</v>
      </c>
      <c r="F42">
        <f t="shared" ref="F42:F44" si="17">E42/E32</f>
        <v>2.1553124661540222E-2</v>
      </c>
    </row>
    <row r="43" spans="1:6" x14ac:dyDescent="0.2">
      <c r="B43" t="s">
        <v>7</v>
      </c>
      <c r="C43">
        <v>79.680000000000007</v>
      </c>
      <c r="D43">
        <v>115.598</v>
      </c>
      <c r="E43">
        <f t="shared" si="15"/>
        <v>35.917999999999992</v>
      </c>
      <c r="F43">
        <f t="shared" si="17"/>
        <v>0.3934666871152202</v>
      </c>
    </row>
    <row r="44" spans="1:6" x14ac:dyDescent="0.2">
      <c r="B44" t="s">
        <v>8</v>
      </c>
      <c r="C44">
        <v>82.986999999999995</v>
      </c>
      <c r="D44">
        <v>106.919</v>
      </c>
      <c r="E44">
        <f t="shared" si="15"/>
        <v>23.932000000000002</v>
      </c>
      <c r="F44">
        <f t="shared" si="17"/>
        <v>0.28088542522476001</v>
      </c>
    </row>
    <row r="47" spans="1:6" x14ac:dyDescent="0.2">
      <c r="A47" s="1" t="s">
        <v>26</v>
      </c>
      <c r="C47" s="3">
        <v>46154</v>
      </c>
      <c r="D47" s="3">
        <v>46162</v>
      </c>
      <c r="E47" s="3">
        <v>46170</v>
      </c>
    </row>
    <row r="48" spans="1:6" x14ac:dyDescent="0.2">
      <c r="A48" s="1" t="s">
        <v>25</v>
      </c>
      <c r="B48" t="s">
        <v>5</v>
      </c>
      <c r="C48" s="2">
        <f>P7</f>
        <v>0.38295954017806827</v>
      </c>
      <c r="D48">
        <f>F24</f>
        <v>2.8267697511475908E-2</v>
      </c>
      <c r="E48">
        <f>F36</f>
        <v>4.1017916177882016E-2</v>
      </c>
    </row>
    <row r="49" spans="1:5" x14ac:dyDescent="0.2">
      <c r="A49" s="1"/>
      <c r="B49" t="s">
        <v>6</v>
      </c>
      <c r="C49" s="2">
        <f>P8</f>
        <v>1.3180176814842508</v>
      </c>
      <c r="D49">
        <f>F25</f>
        <v>5.4390200960788608E-2</v>
      </c>
      <c r="E49">
        <f t="shared" ref="E49:E51" si="18">F37</f>
        <v>4.6615401278024493E-2</v>
      </c>
    </row>
    <row r="50" spans="1:5" x14ac:dyDescent="0.2">
      <c r="A50" s="1"/>
      <c r="B50" t="s">
        <v>7</v>
      </c>
      <c r="C50" s="2">
        <f>P9</f>
        <v>3.2321802935010471</v>
      </c>
      <c r="D50">
        <f>F26</f>
        <v>1.2562138084632515</v>
      </c>
      <c r="E50">
        <f t="shared" si="18"/>
        <v>1.2124641237429619</v>
      </c>
    </row>
    <row r="51" spans="1:5" x14ac:dyDescent="0.2">
      <c r="A51" s="1"/>
      <c r="B51" t="s">
        <v>8</v>
      </c>
      <c r="C51" s="2">
        <f>P10</f>
        <v>2.5505426858901665</v>
      </c>
      <c r="D51">
        <f>F27</f>
        <v>1.4015353668048771</v>
      </c>
      <c r="E51">
        <f t="shared" si="18"/>
        <v>1.2643599915494941</v>
      </c>
    </row>
    <row r="52" spans="1:5" x14ac:dyDescent="0.2">
      <c r="A52" s="1"/>
    </row>
    <row r="53" spans="1:5" x14ac:dyDescent="0.2">
      <c r="A53" s="1" t="s">
        <v>18</v>
      </c>
      <c r="B53" t="s">
        <v>5</v>
      </c>
      <c r="C53" s="2">
        <f>K12</f>
        <v>1.7943198467260271</v>
      </c>
      <c r="E53">
        <f>F41</f>
        <v>0.11828143329423059</v>
      </c>
    </row>
    <row r="54" spans="1:5" x14ac:dyDescent="0.2">
      <c r="A54" s="1"/>
      <c r="B54" t="s">
        <v>6</v>
      </c>
      <c r="C54">
        <f>K13</f>
        <v>0.96289378657701552</v>
      </c>
      <c r="E54">
        <f t="shared" ref="E54:E56" si="19">F42</f>
        <v>2.1553124661540222E-2</v>
      </c>
    </row>
    <row r="55" spans="1:5" x14ac:dyDescent="0.2">
      <c r="B55" t="s">
        <v>7</v>
      </c>
      <c r="C55" s="2">
        <f>K14</f>
        <v>9.6659678546470946</v>
      </c>
      <c r="E55">
        <f t="shared" si="19"/>
        <v>0.3934666871152202</v>
      </c>
    </row>
    <row r="56" spans="1:5" x14ac:dyDescent="0.2">
      <c r="B56" t="s">
        <v>8</v>
      </c>
      <c r="C56">
        <f>K15</f>
        <v>6.131540579944919</v>
      </c>
      <c r="E56">
        <f t="shared" si="19"/>
        <v>0.28088542522476001</v>
      </c>
    </row>
    <row r="60" spans="1:5" x14ac:dyDescent="0.2">
      <c r="E60" t="s">
        <v>27</v>
      </c>
    </row>
    <row r="66" spans="1:8" x14ac:dyDescent="0.2">
      <c r="A66" s="1" t="s">
        <v>13</v>
      </c>
    </row>
    <row r="67" spans="1:8" x14ac:dyDescent="0.2">
      <c r="A67" t="s">
        <v>14</v>
      </c>
      <c r="B67" t="s">
        <v>5</v>
      </c>
      <c r="C67">
        <v>152.79499999999999</v>
      </c>
      <c r="D67">
        <v>223.952</v>
      </c>
      <c r="E67">
        <f>D67-C67</f>
        <v>71.157000000000011</v>
      </c>
    </row>
    <row r="68" spans="1:8" x14ac:dyDescent="0.2">
      <c r="B68" t="s">
        <v>6</v>
      </c>
      <c r="C68">
        <v>154.447</v>
      </c>
      <c r="D68">
        <v>224.75</v>
      </c>
      <c r="E68">
        <f>D68-C68</f>
        <v>70.302999999999997</v>
      </c>
    </row>
    <row r="69" spans="1:8" x14ac:dyDescent="0.2">
      <c r="B69" t="s">
        <v>7</v>
      </c>
      <c r="C69">
        <v>173.04400000000001</v>
      </c>
      <c r="D69">
        <v>228.11799999999999</v>
      </c>
      <c r="E69">
        <f>D69-C69</f>
        <v>55.073999999999984</v>
      </c>
    </row>
    <row r="70" spans="1:8" x14ac:dyDescent="0.2">
      <c r="B70" t="s">
        <v>8</v>
      </c>
      <c r="C70">
        <v>164.667</v>
      </c>
      <c r="D70">
        <v>228.928</v>
      </c>
      <c r="E70">
        <f>D70-C70</f>
        <v>64.260999999999996</v>
      </c>
    </row>
    <row r="72" spans="1:8" x14ac:dyDescent="0.2">
      <c r="A72" t="s">
        <v>15</v>
      </c>
    </row>
    <row r="73" spans="1:8" x14ac:dyDescent="0.2">
      <c r="B73" t="s">
        <v>5</v>
      </c>
      <c r="C73">
        <v>169.762</v>
      </c>
      <c r="D73">
        <v>220.226</v>
      </c>
      <c r="E73">
        <f>D73-C73</f>
        <v>50.463999999999999</v>
      </c>
    </row>
    <row r="74" spans="1:8" x14ac:dyDescent="0.2">
      <c r="B74" t="s">
        <v>6</v>
      </c>
      <c r="C74">
        <v>110.52500000000001</v>
      </c>
      <c r="D74">
        <v>212.666</v>
      </c>
      <c r="E74">
        <f>D74-C74</f>
        <v>102.14099999999999</v>
      </c>
    </row>
    <row r="75" spans="1:8" x14ac:dyDescent="0.2">
      <c r="B75" t="s">
        <v>7</v>
      </c>
      <c r="C75">
        <v>161.99600000000001</v>
      </c>
      <c r="D75">
        <v>218.2</v>
      </c>
      <c r="E75">
        <f>D75-C75</f>
        <v>56.203999999999979</v>
      </c>
    </row>
    <row r="76" spans="1:8" x14ac:dyDescent="0.2">
      <c r="B76" t="s">
        <v>8</v>
      </c>
      <c r="C76">
        <v>121.949</v>
      </c>
      <c r="D76">
        <v>214.358</v>
      </c>
      <c r="E76">
        <f>D76-C76</f>
        <v>92.409000000000006</v>
      </c>
    </row>
    <row r="78" spans="1:8" x14ac:dyDescent="0.2">
      <c r="A78" s="1" t="s">
        <v>12</v>
      </c>
    </row>
    <row r="79" spans="1:8" x14ac:dyDescent="0.2">
      <c r="A79" t="s">
        <v>3</v>
      </c>
      <c r="B79" t="s">
        <v>4</v>
      </c>
      <c r="C79" t="s">
        <v>0</v>
      </c>
      <c r="D79" t="s">
        <v>1</v>
      </c>
      <c r="E79" t="s">
        <v>2</v>
      </c>
      <c r="H79" t="s">
        <v>11</v>
      </c>
    </row>
    <row r="80" spans="1:8" x14ac:dyDescent="0.2">
      <c r="B80" t="s">
        <v>5</v>
      </c>
      <c r="C80">
        <v>154.34800000000001</v>
      </c>
      <c r="D80">
        <v>220.94499999999999</v>
      </c>
      <c r="E80">
        <f>D80-C80</f>
        <v>66.59699999999998</v>
      </c>
      <c r="H80">
        <f>E80/E93</f>
        <v>4.2246257295102767</v>
      </c>
    </row>
    <row r="81" spans="1:8" x14ac:dyDescent="0.2">
      <c r="B81" t="s">
        <v>6</v>
      </c>
      <c r="C81">
        <v>217.804</v>
      </c>
      <c r="D81">
        <v>219.6</v>
      </c>
      <c r="E81">
        <f t="shared" ref="E81:E83" si="20">D81-C81</f>
        <v>1.7959999999999923</v>
      </c>
      <c r="H81">
        <f t="shared" ref="H81:H83" si="21">E81/E94</f>
        <v>0.14945493883664732</v>
      </c>
    </row>
    <row r="82" spans="1:8" x14ac:dyDescent="0.2">
      <c r="B82" t="s">
        <v>7</v>
      </c>
      <c r="C82">
        <v>206.91499999999999</v>
      </c>
      <c r="D82">
        <v>227.685</v>
      </c>
      <c r="E82">
        <f t="shared" si="20"/>
        <v>20.77000000000001</v>
      </c>
      <c r="H82">
        <f t="shared" si="21"/>
        <v>2.4661600569935902</v>
      </c>
    </row>
    <row r="83" spans="1:8" x14ac:dyDescent="0.2">
      <c r="B83" t="s">
        <v>8</v>
      </c>
      <c r="C83">
        <v>194.11199999999999</v>
      </c>
      <c r="D83">
        <v>227.18100000000001</v>
      </c>
      <c r="E83">
        <f t="shared" si="20"/>
        <v>33.069000000000017</v>
      </c>
      <c r="H83">
        <f t="shared" si="21"/>
        <v>7.7318213701192446</v>
      </c>
    </row>
    <row r="85" spans="1:8" x14ac:dyDescent="0.2">
      <c r="A85" t="s">
        <v>9</v>
      </c>
    </row>
    <row r="87" spans="1:8" x14ac:dyDescent="0.2">
      <c r="B87" t="s">
        <v>5</v>
      </c>
      <c r="C87">
        <v>165.613</v>
      </c>
      <c r="D87">
        <v>184.66200000000001</v>
      </c>
      <c r="E87">
        <f>D87-C87</f>
        <v>19.049000000000007</v>
      </c>
      <c r="H87">
        <f>E87/E93</f>
        <v>1.2083861963968543</v>
      </c>
    </row>
    <row r="88" spans="1:8" x14ac:dyDescent="0.2">
      <c r="B88" t="s">
        <v>6</v>
      </c>
      <c r="C88">
        <v>186.65600000000001</v>
      </c>
      <c r="D88">
        <v>192.233</v>
      </c>
      <c r="E88">
        <f t="shared" ref="E88:E90" si="22">D88-C88</f>
        <v>5.5769999999999982</v>
      </c>
      <c r="H88">
        <f t="shared" ref="H88:H90" si="23">E88/E94</f>
        <v>0.46409253557460212</v>
      </c>
    </row>
    <row r="89" spans="1:8" x14ac:dyDescent="0.2">
      <c r="B89" t="s">
        <v>7</v>
      </c>
      <c r="C89">
        <v>165.83099999999999</v>
      </c>
      <c r="D89">
        <v>209.32599999999999</v>
      </c>
      <c r="E89">
        <f t="shared" si="22"/>
        <v>43.495000000000005</v>
      </c>
      <c r="H89">
        <f t="shared" si="23"/>
        <v>5.1644502493469506</v>
      </c>
    </row>
    <row r="90" spans="1:8" x14ac:dyDescent="0.2">
      <c r="B90" t="s">
        <v>8</v>
      </c>
      <c r="C90">
        <v>174.63499999999999</v>
      </c>
      <c r="D90">
        <v>231.459</v>
      </c>
      <c r="E90">
        <f t="shared" si="22"/>
        <v>56.824000000000012</v>
      </c>
      <c r="H90">
        <f t="shared" si="23"/>
        <v>13.285948094458732</v>
      </c>
    </row>
    <row r="92" spans="1:8" x14ac:dyDescent="0.2">
      <c r="A92" t="s">
        <v>10</v>
      </c>
    </row>
    <row r="93" spans="1:8" x14ac:dyDescent="0.2">
      <c r="B93" t="s">
        <v>5</v>
      </c>
      <c r="C93">
        <v>101.334</v>
      </c>
      <c r="D93">
        <v>117.098</v>
      </c>
      <c r="E93">
        <f>D93-C93</f>
        <v>15.763999999999996</v>
      </c>
    </row>
    <row r="94" spans="1:8" x14ac:dyDescent="0.2">
      <c r="B94" t="s">
        <v>6</v>
      </c>
      <c r="C94">
        <v>107.41</v>
      </c>
      <c r="D94">
        <v>119.42700000000001</v>
      </c>
      <c r="E94">
        <f t="shared" ref="E94:E96" si="24">D94-C94</f>
        <v>12.01700000000001</v>
      </c>
    </row>
    <row r="95" spans="1:8" x14ac:dyDescent="0.2">
      <c r="B95" t="s">
        <v>7</v>
      </c>
      <c r="C95">
        <v>106.524</v>
      </c>
      <c r="D95">
        <v>114.946</v>
      </c>
      <c r="E95">
        <f t="shared" si="24"/>
        <v>8.421999999999997</v>
      </c>
    </row>
    <row r="96" spans="1:8" x14ac:dyDescent="0.2">
      <c r="B96" t="s">
        <v>8</v>
      </c>
      <c r="C96">
        <v>109.876</v>
      </c>
      <c r="D96">
        <v>114.15300000000001</v>
      </c>
      <c r="E96">
        <f t="shared" si="24"/>
        <v>4.277000000000001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Refined data</vt:lpstr>
      <vt:lpstr>More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Zoë Zizzo (Alum)</dc:creator>
  <cp:lastModifiedBy>Zoë Zizzo (Alum)</cp:lastModifiedBy>
  <dcterms:created xsi:type="dcterms:W3CDTF">2026-06-03T22:24:19Z</dcterms:created>
  <dcterms:modified xsi:type="dcterms:W3CDTF">2026-07-02T20:37:43Z</dcterms:modified>
</cp:coreProperties>
</file>