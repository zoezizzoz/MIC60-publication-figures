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f33d96507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1e9a951792e4367"/>
    <x:sheet xmlns:r="http://schemas.openxmlformats.org/officeDocument/2006/relationships" name="Individual datapoints" sheetId="2" r:id="R018bebb2a0ea4d77"/>
    <x:sheet xmlns:r="http://schemas.openxmlformats.org/officeDocument/2006/relationships" name="Experiment means" sheetId="3" r:id="Rfe10fcce3913405c"/>
    <x:sheet xmlns:r="http://schemas.openxmlformats.org/officeDocument/2006/relationships" name="Line-error summaries" sheetId="4" r:id="R3851cedcc06f4725"/>
    <x:sheet xmlns:r="http://schemas.openxmlformats.org/officeDocument/2006/relationships" name="Raw + calculations" sheetId="5" r:id="R6a03c8a9c8a8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2">
    <x:border/>
    <x:border>
      <x:bottom style="thin">
        <x:color rgb="FF8EA9C1"/>
      </x:bottom>
    </x:border>
    <x:border>
      <x:bottom style="thin">
        <x:color rgb="FFD9E2F3"/>
      </x:bottom>
    </x:border>
    <x:border>
      <x:bottom style="hair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/>
    </x:xf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4" fillId="7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8" borderId="6" xfId="0" applyNumberFormat="1" applyFont="1" applyFill="1" applyBorder="1"/>
    <x:xf numFmtId="0" fontId="0" fillId="0" borderId="7" xfId="0" applyNumberFormat="1" applyFont="1" applyFill="1" applyBorder="1"/>
    <x:xf numFmtId="0" fontId="0" fillId="9" borderId="6" xfId="0" applyNumberFormat="1" applyFont="1" applyFill="1" applyBorder="1"/>
    <x:xf numFmtId="0" fontId="0" fillId="10" borderId="6" xfId="0" applyNumberFormat="1" applyFont="1" applyFill="1" applyBorder="1"/>
    <x:xf numFmtId="0" fontId="0" fillId="11" borderId="8" xfId="0" applyNumberFormat="1" applyFont="1" applyFill="1" applyBorder="1"/>
    <x:xf numFmtId="0" fontId="0" fillId="0" borderId="9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202" fontId="0" fillId="8" borderId="0" xfId="0" applyNumberFormat="1" applyFont="1" applyFill="1" applyBorder="1"/>
    <x:xf numFmtId="202" fontId="0" fillId="9" borderId="0" xfId="0" applyNumberFormat="1" applyFont="1" applyFill="1" applyBorder="1"/>
    <x:xf numFmtId="0" fontId="3" fillId="5" borderId="4" xfId="0" applyNumberFormat="1" applyFont="1" applyFill="1" applyBorder="1" applyAlignment="1">
      <x:alignment horizontal="center" wrapText="1"/>
    </x:xf>
    <x:xf numFmtId="0" fontId="3" fillId="5" borderId="10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/>
    <x:xf numFmtId="202" fontId="0" fillId="8" xfId="0" applyNumberFormat="1" applyFont="1" applyFill="1" applyBorder="0"/>
    <x:xf numFmtId="202" fontId="0" fillId="9" xfId="0" applyNumberFormat="1" applyFont="1" applyFill="1" applyBorder="0"/>
    <x:xf numFmtId="202" fontId="0" fillId="8" borderId="7" xfId="0" applyNumberFormat="1" applyFont="1" applyFill="1" applyBorder="1"/>
    <x:xf numFmtId="0" fontId="0" fillId="0" borderId="8" xfId="0" applyNumberFormat="1" applyFont="1" applyFill="1" applyBorder="1"/>
    <x:xf numFmtId="202" fontId="0" fillId="8" borderId="11" xfId="0" applyNumberFormat="1" applyFont="1" applyFill="1" applyBorder="1"/>
    <x:xf numFmtId="202" fontId="0" fillId="9" borderId="11" xfId="0" applyNumberFormat="1" applyFont="1" applyFill="1" applyBorder="1"/>
    <x:xf numFmtId="202" fontId="0" fillId="8" borderId="9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202" fontId="0" fillId="10" borderId="0" xfId="0" applyNumberFormat="1" applyFont="1" applyFill="1" applyBorder="1"/>
    <x:xf numFmtId="202" fontId="0" fillId="11" borderId="0" xfId="0" applyNumberFormat="1" applyFont="1" applyFill="1" applyBorder="1"/>
    <x:xf numFmtId="0" fontId="0" fillId="0" xfId="0" applyNumberFormat="1" applyFont="1" applyFill="1" applyBorder="0"/>
    <x:xf numFmtId="200" fontId="0" fillId="0" xfId="0" applyNumberFormat="1" applyFont="1" applyFill="1" applyBorder="0"/>
    <x:xf numFmtId="202" fontId="0" fillId="10" xfId="0" applyNumberFormat="1" applyFont="1" applyFill="1" applyBorder="0"/>
    <x:xf numFmtId="202" fontId="0" fillId="11" xfId="0" applyNumberFormat="1" applyFont="1" applyFill="1" applyBorder="0"/>
    <x:xf numFmtId="0" fontId="0" fillId="11" xfId="0" applyNumberFormat="1" applyFont="1" applyFill="1" applyBorder="0"/>
    <x:xf numFmtId="202" fontId="0" fillId="8" borderId="3" xfId="0" applyNumberFormat="1" applyFont="1" applyFill="1" applyBorder="1"/>
    <x:xf numFmtId="202" fontId="0" fillId="9" borderId="3" xfId="0" applyNumberFormat="1" applyFont="1" applyFill="1" applyBorder="1"/>
    <x:xf numFmtId="202" fontId="0" fillId="10" borderId="3" xfId="0" applyNumberFormat="1" applyFont="1" applyFill="1" applyBorder="1"/>
    <x:xf numFmtId="202" fontId="0" fillId="11" borderId="3" xfId="0" applyNumberFormat="1" applyFont="1" applyFill="1" applyBorder="1"/>
    <x:xf numFmtId="0" fontId="0" fillId="11" borderId="3" xfId="0" applyNumberFormat="1" applyFont="1" applyFill="1" applyBorder="1"/>
    <x:xf numFmtId="0" fontId="4" fillId="7" borderId="2" xfId="0" applyNumberFormat="1" applyFont="1" applyFill="1" applyBorder="1" applyAlignment="1">
      <x:alignment vertical="top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12" borderId="4" xfId="0" applyNumberFormat="1" applyFont="1" applyFill="1" applyBorder="1" applyAlignment="1">
      <x:alignment vertical="center"/>
    </x:xf>
    <x:xf numFmtId="0" fontId="3" fillId="12" borderId="10" xfId="0" applyNumberFormat="1" applyFont="1" applyFill="1" applyBorder="1" applyAlignment="1">
      <x:alignment vertical="center"/>
    </x:xf>
    <x:xf numFmtId="0" fontId="3" fillId="12" borderId="5" xfId="0" applyNumberFormat="1" applyFont="1" applyFill="1" applyBorder="1" applyAlignment="1">
      <x:alignment vertical="center"/>
    </x:xf>
    <x:xf numFmtId="0" fontId="4" fillId="13" borderId="6" xfId="0" applyNumberFormat="1" applyFont="1" applyFill="1" applyBorder="1" applyAlignment="1">
      <x:alignment vertical="center"/>
    </x:xf>
    <x:xf numFmtId="0" fontId="4" fillId="13" xfId="0" applyNumberFormat="1" applyFont="1" applyFill="1" applyBorder="0" applyAlignment="1">
      <x:alignment vertical="center"/>
    </x:xf>
    <x:xf numFmtId="0" fontId="0" fillId="0" xfId="0" applyNumberFormat="1" applyFont="1" applyFill="1" applyBorder="0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4" fillId="13" borderId="8" xfId="0" applyNumberFormat="1" applyFont="1" applyFill="1" applyBorder="1" applyAlignment="1">
      <x:alignment vertical="center"/>
    </x:xf>
    <x:xf numFmtId="0" fontId="4" fillId="13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3" fillId="12" borderId="4" xfId="0" applyNumberFormat="1" applyFont="1" applyFill="1" applyBorder="1"/>
    <x:xf numFmtId="0" fontId="3" fillId="12" borderId="5" xfId="0" applyNumberFormat="1" applyFont="1" applyFill="1" applyBorder="1"/>
    <x:xf numFmtId="0" fontId="0" fillId="14" borderId="6" xfId="0" applyNumberFormat="1" applyFont="1" applyFill="1" applyBorder="1"/>
    <x:xf numFmtId="0" fontId="0" fillId="15" borderId="6" xfId="0" applyNumberFormat="1" applyFont="1" applyFill="1" applyBorder="1"/>
    <x:xf numFmtId="0" fontId="0" fillId="16" borderId="6" xfId="0" applyNumberFormat="1" applyFont="1" applyFill="1" applyBorder="1"/>
    <x:xf numFmtId="0" fontId="0" fillId="17" borderId="8" xfId="0" applyNumberFormat="1" applyFont="1" applyFill="1" applyBorder="1"/>
  </x:cellXfs>
  <x:cellStyles count="1">
    <x:cellStyle name="Normal" xfId="0"/>
  </x:cellStyles>
  <x:dxfs count="11">
    <x:dxf>
      <x:font>
        <x:i/>
        <x:color rgb="FF666666"/>
      </x:font>
      <x:fill>
        <x:patternFill>
          <x:bgColor rgb="FFFFF2CC"/>
        </x:patternFill>
      </x:fill>
    </x:dxf>
    <x:dxf>
      <x:font>
        <x:b/>
        <x:color rgb="FF4C72B0"/>
      </x:font>
    </x:dxf>
    <x:dxf>
      <x:font>
        <x:b/>
        <x:color rgb="FFA8322B"/>
      </x:font>
    </x:dxf>
    <x:dxf>
      <x:font>
        <x:b/>
        <x:color rgb="FF4C72B0"/>
      </x:font>
    </x:dxf>
    <x:dxf>
      <x:font>
        <x:b/>
        <x:color rgb="FFA8322B"/>
      </x:font>
    </x:dxf>
    <x:dxf>
      <x:font>
        <x:b/>
        <x:color rgb="FF4C72B0"/>
      </x:font>
    </x:dxf>
    <x:dxf>
      <x:font>
        <x:b/>
        <x:color rgb="FFA8322B"/>
      </x:font>
    </x:dxf>
    <x:dxf>
      <x:font>
        <x:b/>
        <x:color rgb="FF4C72B0"/>
      </x:font>
    </x:dxf>
    <x:dxf>
      <x:font>
        <x:b/>
        <x:color rgb="FFA8322B"/>
      </x:font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cd4ff82b2486e" /><Relationship Type="http://schemas.openxmlformats.org/officeDocument/2006/relationships/theme" Target="/xl/theme/theme1.xml" Id="R6f8ee23ad7c143a8" /><Relationship Type="http://schemas.openxmlformats.org/officeDocument/2006/relationships/sharedStrings" Target="/xl/sharedStrings.xml" Id="R0fb5fcce73904006" /><Relationship Type="http://schemas.openxmlformats.org/officeDocument/2006/relationships/worksheet" Target="/xl/worksheets/sheet1.xml" Id="R51e9a951792e4367" /><Relationship Type="http://schemas.openxmlformats.org/officeDocument/2006/relationships/worksheet" Target="/xl/worksheets/sheet2.xml" Id="R018bebb2a0ea4d77" /><Relationship Type="http://schemas.openxmlformats.org/officeDocument/2006/relationships/worksheet" Target="/xl/worksheets/sheet3.xml" Id="Rfe10fcce3913405c" /><Relationship Type="http://schemas.openxmlformats.org/officeDocument/2006/relationships/worksheet" Target="/xl/worksheets/sheet4.xml" Id="R3851cedcc06f4725" /><Relationship Type="http://schemas.openxmlformats.org/officeDocument/2006/relationships/worksheet" Target="/xl/worksheets/sheet5.xml" Id="R6a03c8a9c8a84818" /></Relationships>
</file>

<file path=xl/tables/table1.xml><?xml version="1.0" encoding="utf-8"?>
<x:table xmlns:x="http://schemas.openxmlformats.org/spreadsheetml/2006/main" id="1" name="IndividualPoints" displayName="IndividualPoints" ref="A4:F82" headerRowCount="1" totalsRowCount="0" totalsRowShown="0">
  <x:tableColumns count="6">
    <x:tableColumn id="1" name="Experiment"/>
    <x:tableColumn id="2" name="Dose (mM)"/>
    <x:tableColumn id="3" name="Source genotype"/>
    <x:tableColumn id="4" name="Graph label"/>
    <x:tableColumn id="5" name="Well"/>
    <x:tableColumn id="6" name="Normalized viability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rimentMeans" displayName="ExperimentMeans" ref="A4:G20" headerRowCount="1" totalsRowCount="0" totalsRowShown="0">
  <x:tableColumns count="7">
    <x:tableColumn id="1" name="Experiment"/>
    <x:tableColumn id="2" name="Dose (mM)"/>
    <x:tableColumn id="3" name="Source genotype"/>
    <x:tableColumn id="4" name="Graph label"/>
    <x:tableColumn id="5" name="Experiment mean (%)"/>
    <x:tableColumn id="6" name="Technical-well SD"/>
    <x:tableColumn id="7" name="Technical 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eSummaries" displayName="LineSummaries" ref="A4:G14" headerRowCount="1" totalsRowCount="0" totalsRowShown="0">
  <x:tableColumns count="7">
    <x:tableColumn id="1" name="Dose (mM)"/>
    <x:tableColumn id="2" name="Source genotype"/>
    <x:tableColumn id="3" name="Graph label"/>
    <x:tableColumn id="4" name="Line mean (%)"/>
    <x:tableColumn id="5" name="Between-experiment SD"/>
    <x:tableColumn id="6" name="Biological n"/>
    <x:tableColumn id="7" name="Technical 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CalculationTrail" displayName="RawCalculationTrail" ref="A11:N89" headerRowCount="1" totalsRowCount="0" totalsRowShown="0">
  <x:tableColumns count="14">
    <x:tableColumn id="1" name="Experiment"/>
    <x:tableColumn id="2" name="Dose (mM)"/>
    <x:tableColumn id="3" name="Source genotype"/>
    <x:tableColumn id="4" name="Graph label"/>
    <x:tableColumn id="5" name="Well"/>
    <x:tableColumn id="6" name="Raw absorbance"/>
    <x:tableColumn id="7" name="Blank mean"/>
    <x:tableColumn id="8" name="Corrected absorbance"/>
    <x:tableColumn id="9" name="Matched 0 mM control mean"/>
    <x:tableColumn id="10" name="Calculated normalized viability (%)"/>
    <x:tableColumn id="11" name="Exact plotted value (%)"/>
    <x:tableColumn id="12" name="Difference"/>
    <x:tableColumn id="13" name="Verification"/>
    <x:tableColumn id="14" name="Raw source ce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c49512f36744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812c7dd5354b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6f43ecabb74e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48525b5b1e419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28" customHeight="1">
      <x:c r="A1" s="4" t="str">
        <x:v>Figure 4B MTT — plotted datapoints</x:v>
      </x:c>
    </x:row>
    <x:row r="2" ht="31" customHeight="1">
      <x:c r="A2" s="8" t="str">
        <x:v>Exact processed values used to construct the publication figure</x:v>
      </x:c>
    </x:row>
    <x:row r="4" ht="28" customHeight="1">
      <x:c r="A4" s="13" t="str">
        <x:v>Item</x:v>
      </x:c>
      <x:c r="B4" s="13" t="str">
        <x:v>Details</x:v>
      </x:c>
    </x:row>
    <x:row r="5" ht="32" customHeight="1">
      <x:c r="A5" s="16" t="str">
        <x:v>Figure</x:v>
      </x:c>
      <x:c r="B5" s="18" t="str">
        <x:v>Figure 4B MTT dose-response graph</x:v>
      </x:c>
    </x:row>
    <x:row r="6" ht="32" customHeight="1">
      <x:c r="A6" s="16" t="str">
        <x:v>Individual datapoints</x:v>
      </x:c>
      <x:c r="B6" s="18" t="str">
        <x:v>Each row in the ‘Individual datapoints’ sheet is one normalized technical-well value plotted as a small black point (78 total).</x:v>
      </x:c>
    </x:row>
    <x:row r="7" ht="32" customHeight="1">
      <x:c r="A7" s="16" t="str">
        <x:v>Experiment means</x:v>
      </x:c>
      <x:c r="B7" s="18" t="str">
        <x:v>Each row in the ‘Experiment means’ sheet is the mean of technical wells within one experiment, dose, and genotype; these are the larger black points (16 total).</x:v>
      </x:c>
    </x:row>
    <x:row r="8" ht="32" customHeight="1">
      <x:c r="A8" s="16" t="str">
        <x:v>Colored line</x:v>
      </x:c>
      <x:c r="B8" s="18" t="str">
        <x:v>The colored line is the mean of the available experiment means at each dose and genotype.</x:v>
      </x:c>
    </x:row>
    <x:row r="9" ht="32" customHeight="1">
      <x:c r="A9" s="16" t="str">
        <x:v>Error bars</x:v>
      </x:c>
      <x:c r="B9" s="18" t="str">
        <x:v>SD across experiment means when biological n = 2. SD is blank when biological n = 1.</x:v>
      </x:c>
    </x:row>
    <x:row r="10" ht="32" customHeight="1">
      <x:c r="A10" s="16" t="str">
        <x:v>Normalization</x:v>
      </x:c>
      <x:c r="B10" s="18" t="str">
        <x:v>Values are percent of the matched 0 mM control within genotype and experiment, as supplied in the plot-value source table.</x:v>
      </x:c>
    </x:row>
    <x:row r="11" ht="32" customHeight="1">
      <x:c r="A11" s="16" t="str">
        <x:v>Genotype labels</x:v>
      </x:c>
      <x:c r="B11" s="18" t="str">
        <x:v>WT = dMIC60-WT; CS = dMIC60-CS.</x:v>
      </x:c>
    </x:row>
    <x:row r="12" ht="32" customHeight="1">
      <x:c r="A12" s="16" t="str">
        <x:v>Important</x:v>
      </x:c>
      <x:c r="B12" s="18" t="str">
        <x:v>These are the processed normalized datapoints used for the figure, not the original raw absorbance readings.</x:v>
      </x:c>
    </x:row>
    <x:row r="13" ht="32" customHeight="1">
      <x:c r="A13" s="16" t="str">
        <x:v>Source</x:v>
      </x:c>
      <x:c r="B13" s="18" t="str">
        <x:v>/Users/picklejuice/Desktop/XinnanLab/Results/MIC60Results/publication_8_4_handoff/Figure_4B_MTT/Supporting_Data/mtt_plot_values.csv</x:v>
      </x:c>
    </x:row>
    <x:row r="14" ht="32" customHeight="1">
      <x:c r="A14" s="19" t="str">
        <x:v>Data integrity</x:v>
      </x:c>
      <x:c r="B14" s="20" t="str">
        <x:v>No numerical datapoints were altered for this workbook. Display values are rounded only by cell formatting; full precision remains stored.</x:v>
      </x:c>
    </x:row>
    <x:row r="15" ht="34" customHeight="1">
      <x:c r="A15" s="88" t="str">
        <x:v>Raw calculation trail</x:v>
      </x:c>
      <x:c r="B15" s="20" t="str">
        <x:v>See ‘Raw + calculations’ for raw absorbance, blank measurements, live formulas, exact plotted values, and row-by-row verification.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8" hidden="0" customWidth="1"/>
    <x:col min="5" max="5" width="9" hidden="0" customWidth="1"/>
    <x:col min="6" max="6" width="24" hidden="0" customWidth="1"/>
  </x:cols>
  <x:sheetData>
    <x:row r="1" ht="28" customHeight="1">
      <x:c r="A1" s="4" t="str">
        <x:v>Individual technical-well datapoints</x:v>
      </x:c>
    </x:row>
    <x:row r="2" ht="31" customHeight="1">
      <x:c r="A2" s="8" t="str">
        <x:v>Exact normalized values plotted as the small black points in Figure 4B</x:v>
      </x:c>
    </x:row>
    <x:row r="4" ht="28" customHeight="1">
      <x:c r="A4" s="13" t="str">
        <x:v>Experiment</x:v>
      </x:c>
      <x:c r="B4" s="13" t="str">
        <x:v>Dose (mM)</x:v>
      </x:c>
      <x:c r="C4" s="13" t="str">
        <x:v>Source genotype</x:v>
      </x:c>
      <x:c r="D4" s="13" t="str">
        <x:v>Graph label</x:v>
      </x:c>
      <x:c r="E4" s="13" t="str">
        <x:v>Well</x:v>
      </x:c>
      <x:c r="F4" s="13" t="str">
        <x:v>Normalized viability (%)</x:v>
      </x:c>
    </x:row>
    <x:row r="5" ht="18" customHeight="1">
      <x:c r="A5" s="23" t="str">
        <x:v>7.28.26</x:v>
      </x:c>
      <x:c r="B5" s="24" t="n">
        <x:v>0</x:v>
      </x:c>
      <x:c r="C5" s="23" t="str">
        <x:v>WT</x:v>
      </x:c>
      <x:c r="D5" s="23" t="str">
        <x:v>dMIC60-WT</x:v>
      </x:c>
      <x:c r="E5" s="24" t="n">
        <x:v>1</x:v>
      </x:c>
      <x:c r="F5" s="25" t="n">
        <x:v>96.59628139084458</x:v>
      </x:c>
    </x:row>
    <x:row r="6" ht="18" customHeight="1">
      <x:c r="A6" s="23" t="str">
        <x:v>7.28.26</x:v>
      </x:c>
      <x:c r="B6" s="24" t="n">
        <x:v>0</x:v>
      </x:c>
      <x:c r="C6" s="23" t="str">
        <x:v>WT</x:v>
      </x:c>
      <x:c r="D6" s="23" t="str">
        <x:v>dMIC60-WT</x:v>
      </x:c>
      <x:c r="E6" s="24" t="n">
        <x:v>2</x:v>
      </x:c>
      <x:c r="F6" s="25" t="n">
        <x:v>107.24866281292383</x:v>
      </x:c>
    </x:row>
    <x:row r="7" ht="18" customHeight="1">
      <x:c r="A7" s="23" t="str">
        <x:v>7.28.26</x:v>
      </x:c>
      <x:c r="B7" s="24" t="n">
        <x:v>0</x:v>
      </x:c>
      <x:c r="C7" s="23" t="str">
        <x:v>WT</x:v>
      </x:c>
      <x:c r="D7" s="23" t="str">
        <x:v>dMIC60-WT</x:v>
      </x:c>
      <x:c r="E7" s="24" t="n">
        <x:v>3</x:v>
      </x:c>
      <x:c r="F7" s="25" t="n">
        <x:v>103.08855724651586</x:v>
      </x:c>
    </x:row>
    <x:row r="8" ht="18" customHeight="1">
      <x:c r="A8" s="23" t="str">
        <x:v>7.28.26</x:v>
      </x:c>
      <x:c r="B8" s="24" t="n">
        <x:v>0</x:v>
      </x:c>
      <x:c r="C8" s="23" t="str">
        <x:v>WT</x:v>
      </x:c>
      <x:c r="D8" s="23" t="str">
        <x:v>dMIC60-WT</x:v>
      </x:c>
      <x:c r="E8" s="24" t="n">
        <x:v>4</x:v>
      </x:c>
      <x:c r="F8" s="25" t="n">
        <x:v>92.07374839754596</x:v>
      </x:c>
    </x:row>
    <x:row r="9" ht="18" customHeight="1">
      <x:c r="A9" s="23" t="str">
        <x:v>7.28.26</x:v>
      </x:c>
      <x:c r="B9" s="24" t="n">
        <x:v>0</x:v>
      </x:c>
      <x:c r="C9" s="23" t="str">
        <x:v>WT</x:v>
      </x:c>
      <x:c r="D9" s="23" t="str">
        <x:v>dMIC60-WT</x:v>
      </x:c>
      <x:c r="E9" s="24" t="n">
        <x:v>5</x:v>
      </x:c>
      <x:c r="F9" s="25" t="n">
        <x:v>101.3866971592319</x:v>
      </x:c>
    </x:row>
    <x:row r="10" ht="18" customHeight="1">
      <x:c r="A10" s="23" t="str">
        <x:v>7.28.26</x:v>
      </x:c>
      <x:c r="B10" s="24" t="n">
        <x:v>0</x:v>
      </x:c>
      <x:c r="C10" s="23" t="str">
        <x:v>WT</x:v>
      </x:c>
      <x:c r="D10" s="23" t="str">
        <x:v>dMIC60-WT</x:v>
      </x:c>
      <x:c r="E10" s="24" t="n">
        <x:v>6</x:v>
      </x:c>
      <x:c r="F10" s="25" t="n">
        <x:v>99.60605299293796</x:v>
      </x:c>
    </x:row>
    <x:row r="11" ht="18" customHeight="1">
      <x:c r="A11" s="23" t="str">
        <x:v>7.28.26</x:v>
      </x:c>
      <x:c r="B11" s="24" t="n">
        <x:v>0</x:v>
      </x:c>
      <x:c r="C11" s="23" t="str">
        <x:v>CS</x:v>
      </x:c>
      <x:c r="D11" s="23" t="str">
        <x:v>dMIC60-CS</x:v>
      </x:c>
      <x:c r="E11" s="24" t="n">
        <x:v>1</x:v>
      </x:c>
      <x:c r="F11" s="25" t="n">
        <x:v>93.9275668607823</x:v>
      </x:c>
    </x:row>
    <x:row r="12" ht="18" customHeight="1">
      <x:c r="A12" s="23" t="str">
        <x:v>7.28.26</x:v>
      </x:c>
      <x:c r="B12" s="24" t="n">
        <x:v>0</x:v>
      </x:c>
      <x:c r="C12" s="23" t="str">
        <x:v>CS</x:v>
      </x:c>
      <x:c r="D12" s="23" t="str">
        <x:v>dMIC60-CS</x:v>
      </x:c>
      <x:c r="E12" s="24" t="n">
        <x:v>2</x:v>
      </x:c>
      <x:c r="F12" s="25" t="n">
        <x:v>98.11168770518816</x:v>
      </x:c>
    </x:row>
    <x:row r="13" ht="18" customHeight="1">
      <x:c r="A13" s="23" t="str">
        <x:v>7.28.26</x:v>
      </x:c>
      <x:c r="B13" s="24" t="n">
        <x:v>0</x:v>
      </x:c>
      <x:c r="C13" s="23" t="str">
        <x:v>CS</x:v>
      </x:c>
      <x:c r="D13" s="23" t="str">
        <x:v>dMIC60-CS</x:v>
      </x:c>
      <x:c r="E13" s="24" t="n">
        <x:v>3</x:v>
      </x:c>
      <x:c r="F13" s="25" t="n">
        <x:v>100.86667233303639</x:v>
      </x:c>
    </x:row>
    <x:row r="14" ht="18" customHeight="1">
      <x:c r="A14" s="23" t="str">
        <x:v>7.28.26</x:v>
      </x:c>
      <x:c r="B14" s="24" t="n">
        <x:v>0</x:v>
      </x:c>
      <x:c r="C14" s="23" t="str">
        <x:v>CS</x:v>
      </x:c>
      <x:c r="D14" s="23" t="str">
        <x:v>dMIC60-CS</x:v>
      </x:c>
      <x:c r="E14" s="24" t="n">
        <x:v>4</x:v>
      </x:c>
      <x:c r="F14" s="25" t="n">
        <x:v>97.66401142679504</x:v>
      </x:c>
    </x:row>
    <x:row r="15" ht="18" customHeight="1">
      <x:c r="A15" s="23" t="str">
        <x:v>7.28.26</x:v>
      </x:c>
      <x:c r="B15" s="24" t="n">
        <x:v>0</x:v>
      </x:c>
      <x:c r="C15" s="23" t="str">
        <x:v>CS</x:v>
      </x:c>
      <x:c r="D15" s="23" t="str">
        <x:v>dMIC60-CS</x:v>
      </x:c>
      <x:c r="E15" s="24" t="n">
        <x:v>5</x:v>
      </x:c>
      <x:c r="F15" s="25" t="n">
        <x:v>109.06273004838178</x:v>
      </x:c>
    </x:row>
    <x:row r="16" ht="18" customHeight="1">
      <x:c r="A16" s="23" t="str">
        <x:v>7.28.26</x:v>
      </x:c>
      <x:c r="B16" s="24" t="n">
        <x:v>0</x:v>
      </x:c>
      <x:c r="C16" s="23" t="str">
        <x:v>CS</x:v>
      </x:c>
      <x:c r="D16" s="23" t="str">
        <x:v>dMIC60-CS</x:v>
      </x:c>
      <x:c r="E16" s="24" t="n">
        <x:v>6</x:v>
      </x:c>
      <x:c r="F16" s="25" t="n">
        <x:v>100.36733162581632</x:v>
      </x:c>
    </x:row>
    <x:row r="17" ht="18" customHeight="1">
      <x:c r="A17" s="23" t="str">
        <x:v>7.28.26</x:v>
      </x:c>
      <x:c r="B17" s="24" t="n">
        <x:v>5</x:v>
      </x:c>
      <x:c r="C17" s="23" t="str">
        <x:v>WT</x:v>
      </x:c>
      <x:c r="D17" s="23" t="str">
        <x:v>dMIC60-WT</x:v>
      </x:c>
      <x:c r="E17" s="24" t="n">
        <x:v>1</x:v>
      </x:c>
      <x:c r="F17" s="25" t="n">
        <x:v>48.03025478950861</x:v>
      </x:c>
    </x:row>
    <x:row r="18" ht="18" customHeight="1">
      <x:c r="A18" s="23" t="str">
        <x:v>7.28.26</x:v>
      </x:c>
      <x:c r="B18" s="24" t="n">
        <x:v>5</x:v>
      </x:c>
      <x:c r="C18" s="23" t="str">
        <x:v>WT</x:v>
      </x:c>
      <x:c r="D18" s="23" t="str">
        <x:v>dMIC60-WT</x:v>
      </x:c>
      <x:c r="E18" s="24" t="n">
        <x:v>2</x:v>
      </x:c>
      <x:c r="F18" s="25" t="n">
        <x:v>52.44248255821334</x:v>
      </x:c>
    </x:row>
    <x:row r="19" ht="18" customHeight="1">
      <x:c r="A19" s="23" t="str">
        <x:v>7.28.26</x:v>
      </x:c>
      <x:c r="B19" s="24" t="n">
        <x:v>5</x:v>
      </x:c>
      <x:c r="C19" s="23" t="str">
        <x:v>WT</x:v>
      </x:c>
      <x:c r="D19" s="23" t="str">
        <x:v>dMIC60-WT</x:v>
      </x:c>
      <x:c r="E19" s="24" t="n">
        <x:v>3</x:v>
      </x:c>
      <x:c r="F19" s="25" t="n">
        <x:v>47.55751744178666</x:v>
      </x:c>
    </x:row>
    <x:row r="20" ht="18" customHeight="1">
      <x:c r="A20" s="23" t="str">
        <x:v>7.28.26</x:v>
      </x:c>
      <x:c r="B20" s="24" t="n">
        <x:v>5</x:v>
      </x:c>
      <x:c r="C20" s="23" t="str">
        <x:v>WT</x:v>
      </x:c>
      <x:c r="D20" s="23" t="str">
        <x:v>dMIC60-WT</x:v>
      </x:c>
      <x:c r="E20" s="24" t="n">
        <x:v>4</x:v>
      </x:c>
      <x:c r="F20" s="25" t="n">
        <x:v>37.80334308548778</x:v>
      </x:c>
    </x:row>
    <x:row r="21" ht="18" customHeight="1">
      <x:c r="A21" s="23" t="str">
        <x:v>7.28.26</x:v>
      </x:c>
      <x:c r="B21" s="24" t="n">
        <x:v>5</x:v>
      </x:c>
      <x:c r="C21" s="23" t="str">
        <x:v>WT</x:v>
      </x:c>
      <x:c r="D21" s="23" t="str">
        <x:v>dMIC60-WT</x:v>
      </x:c>
      <x:c r="E21" s="24" t="n">
        <x:v>5</x:v>
      </x:c>
      <x:c r="F21" s="25" t="n">
        <x:v>49.95272532598032</x:v>
      </x:c>
    </x:row>
    <x:row r="22" ht="18" customHeight="1">
      <x:c r="A22" s="23" t="str">
        <x:v>7.28.26</x:v>
      </x:c>
      <x:c r="B22" s="24" t="n">
        <x:v>5</x:v>
      </x:c>
      <x:c r="C22" s="23" t="str">
        <x:v>WT</x:v>
      </x:c>
      <x:c r="D22" s="23" t="str">
        <x:v>dMIC60-WT</x:v>
      </x:c>
      <x:c r="E22" s="24" t="n">
        <x:v>6</x:v>
      </x:c>
      <x:c r="F22" s="25" t="n">
        <x:v>53.62433297187438</x:v>
      </x:c>
    </x:row>
    <x:row r="23" ht="18" customHeight="1">
      <x:c r="A23" s="23" t="str">
        <x:v>7.28.26</x:v>
      </x:c>
      <x:c r="B23" s="24" t="n">
        <x:v>5</x:v>
      </x:c>
      <x:c r="C23" s="23" t="str">
        <x:v>CS</x:v>
      </x:c>
      <x:c r="D23" s="23" t="str">
        <x:v>dMIC60-CS</x:v>
      </x:c>
      <x:c r="E23" s="24" t="n">
        <x:v>1</x:v>
      </x:c>
      <x:c r="F23" s="25" t="n">
        <x:v>70.16587062952654</x:v>
      </x:c>
    </x:row>
    <x:row r="24" ht="18" customHeight="1">
      <x:c r="A24" s="23" t="str">
        <x:v>7.28.26</x:v>
      </x:c>
      <x:c r="B24" s="24" t="n">
        <x:v>5</x:v>
      </x:c>
      <x:c r="C24" s="23" t="str">
        <x:v>CS</x:v>
      </x:c>
      <x:c r="D24" s="23" t="str">
        <x:v>dMIC60-CS</x:v>
      </x:c>
      <x:c r="E24" s="24" t="n">
        <x:v>2</x:v>
      </x:c>
      <x:c r="F24" s="25" t="n">
        <x:v>66.7738042735432</x:v>
      </x:c>
    </x:row>
    <x:row r="25" ht="18" customHeight="1">
      <x:c r="A25" s="23" t="str">
        <x:v>7.28.26</x:v>
      </x:c>
      <x:c r="B25" s="24" t="n">
        <x:v>5</x:v>
      </x:c>
      <x:c r="C25" s="23" t="str">
        <x:v>CS</x:v>
      </x:c>
      <x:c r="D25" s="23" t="str">
        <x:v>dMIC60-CS</x:v>
      </x:c>
      <x:c r="E25" s="24" t="n">
        <x:v>3</x:v>
      </x:c>
      <x:c r="F25" s="25" t="n">
        <x:v>67.56585876196571</x:v>
      </x:c>
    </x:row>
    <x:row r="26" ht="18" customHeight="1">
      <x:c r="A26" s="23" t="str">
        <x:v>7.28.26</x:v>
      </x:c>
      <x:c r="B26" s="24" t="n">
        <x:v>5</x:v>
      </x:c>
      <x:c r="C26" s="23" t="str">
        <x:v>CS</x:v>
      </x:c>
      <x:c r="D26" s="23" t="str">
        <x:v>dMIC60-CS</x:v>
      </x:c>
      <x:c r="E26" s="24" t="n">
        <x:v>4</x:v>
      </x:c>
      <x:c r="F26" s="25" t="n">
        <x:v>53.58434461754544</x:v>
      </x:c>
    </x:row>
    <x:row r="27" ht="18" customHeight="1">
      <x:c r="A27" s="23" t="str">
        <x:v>7.28.26</x:v>
      </x:c>
      <x:c r="B27" s="24" t="n">
        <x:v>5</x:v>
      </x:c>
      <x:c r="C27" s="23" t="str">
        <x:v>CS</x:v>
      </x:c>
      <x:c r="D27" s="23" t="str">
        <x:v>dMIC60-CS</x:v>
      </x:c>
      <x:c r="E27" s="24" t="n">
        <x:v>5</x:v>
      </x:c>
      <x:c r="F27" s="25" t="n">
        <x:v>57.90621674596304</x:v>
      </x:c>
    </x:row>
    <x:row r="28" ht="18" customHeight="1">
      <x:c r="A28" s="23" t="str">
        <x:v>7.28.26</x:v>
      </x:c>
      <x:c r="B28" s="24" t="n">
        <x:v>5</x:v>
      </x:c>
      <x:c r="C28" s="23" t="str">
        <x:v>CS</x:v>
      </x:c>
      <x:c r="D28" s="23" t="str">
        <x:v>dMIC60-CS</x:v>
      </x:c>
      <x:c r="E28" s="24" t="n">
        <x:v>6</x:v>
      </x:c>
      <x:c r="F28" s="25" t="n">
        <x:v>55.375080520408105</x:v>
      </x:c>
    </x:row>
    <x:row r="29" ht="18" customHeight="1">
      <x:c r="A29" s="23" t="str">
        <x:v>7.28.26</x:v>
      </x:c>
      <x:c r="B29" s="24" t="n">
        <x:v>10</x:v>
      </x:c>
      <x:c r="C29" s="23" t="str">
        <x:v>WT</x:v>
      </x:c>
      <x:c r="D29" s="23" t="str">
        <x:v>dMIC60-WT</x:v>
      </x:c>
      <x:c r="E29" s="24" t="n">
        <x:v>1</x:v>
      </x:c>
      <x:c r="F29" s="25" t="n">
        <x:v>36.19602765000577</x:v>
      </x:c>
    </x:row>
    <x:row r="30" ht="18" customHeight="1">
      <x:c r="A30" s="23" t="str">
        <x:v>7.28.26</x:v>
      </x:c>
      <x:c r="B30" s="24" t="n">
        <x:v>10</x:v>
      </x:c>
      <x:c r="C30" s="23" t="str">
        <x:v>WT</x:v>
      </x:c>
      <x:c r="D30" s="23" t="str">
        <x:v>dMIC60-WT</x:v>
      </x:c>
      <x:c r="E30" s="24" t="n">
        <x:v>2</x:v>
      </x:c>
      <x:c r="F30" s="25" t="n">
        <x:v>49.76363132613902</x:v>
      </x:c>
    </x:row>
    <x:row r="31" ht="18" customHeight="1">
      <x:c r="A31" s="23" t="str">
        <x:v>7.28.26</x:v>
      </x:c>
      <x:c r="B31" s="24" t="n">
        <x:v>10</x:v>
      </x:c>
      <x:c r="C31" s="23" t="str">
        <x:v>WT</x:v>
      </x:c>
      <x:c r="D31" s="23" t="str">
        <x:v>dMIC60-WT</x:v>
      </x:c>
      <x:c r="E31" s="24" t="n">
        <x:v>3</x:v>
      </x:c>
      <x:c r="F31" s="25" t="n">
        <x:v>48.40844748542863</x:v>
      </x:c>
    </x:row>
    <x:row r="32" ht="18" customHeight="1">
      <x:c r="A32" s="23" t="str">
        <x:v>7.28.26</x:v>
      </x:c>
      <x:c r="B32" s="24" t="n">
        <x:v>10</x:v>
      </x:c>
      <x:c r="C32" s="23" t="str">
        <x:v>WT</x:v>
      </x:c>
      <x:c r="D32" s="23" t="str">
        <x:v>dMIC60-WT</x:v>
      </x:c>
      <x:c r="E32" s="24" t="n">
        <x:v>4</x:v>
      </x:c>
      <x:c r="F32" s="25" t="n">
        <x:v>44.342895963297465</x:v>
      </x:c>
    </x:row>
    <x:row r="33" ht="18" customHeight="1">
      <x:c r="A33" s="23" t="str">
        <x:v>7.28.26</x:v>
      </x:c>
      <x:c r="B33" s="24" t="n">
        <x:v>10</x:v>
      </x:c>
      <x:c r="C33" s="23" t="str">
        <x:v>WT</x:v>
      </x:c>
      <x:c r="D33" s="23" t="str">
        <x:v>dMIC60-WT</x:v>
      </x:c>
      <x:c r="E33" s="24" t="n">
        <x:v>5</x:v>
      </x:c>
      <x:c r="F33" s="25" t="n">
        <x:v>46.13930070238336</x:v>
      </x:c>
    </x:row>
    <x:row r="34" ht="18" customHeight="1">
      <x:c r="A34" s="23" t="str">
        <x:v>7.28.26</x:v>
      </x:c>
      <x:c r="B34" s="24" t="n">
        <x:v>10</x:v>
      </x:c>
      <x:c r="C34" s="23" t="str">
        <x:v>WT</x:v>
      </x:c>
      <x:c r="D34" s="23" t="str">
        <x:v>dMIC60-WT</x:v>
      </x:c>
      <x:c r="E34" s="24" t="n">
        <x:v>6</x:v>
      </x:c>
      <x:c r="F34" s="25" t="n">
        <x:v>46.911441970777915</x:v>
      </x:c>
    </x:row>
    <x:row r="35" ht="18" customHeight="1">
      <x:c r="A35" s="23" t="str">
        <x:v>7.28.26</x:v>
      </x:c>
      <x:c r="B35" s="24" t="n">
        <x:v>10</x:v>
      </x:c>
      <x:c r="C35" s="23" t="str">
        <x:v>CS</x:v>
      </x:c>
      <x:c r="D35" s="23" t="str">
        <x:v>dMIC60-CS</x:v>
      </x:c>
      <x:c r="E35" s="24" t="n">
        <x:v>1</x:v>
      </x:c>
      <x:c r="F35" s="25" t="n">
        <x:v>54.16977731149868</x:v>
      </x:c>
    </x:row>
    <x:row r="36" ht="18" customHeight="1">
      <x:c r="A36" s="23" t="str">
        <x:v>7.28.26</x:v>
      </x:c>
      <x:c r="B36" s="24" t="n">
        <x:v>10</x:v>
      </x:c>
      <x:c r="C36" s="23" t="str">
        <x:v>CS</x:v>
      </x:c>
      <x:c r="D36" s="23" t="str">
        <x:v>dMIC60-CS</x:v>
      </x:c>
      <x:c r="E36" s="24" t="n">
        <x:v>2</x:v>
      </x:c>
      <x:c r="F36" s="25" t="n">
        <x:v>62.675775415870504</x:v>
      </x:c>
    </x:row>
    <x:row r="37" ht="18" customHeight="1">
      <x:c r="A37" s="23" t="str">
        <x:v>7.28.26</x:v>
      </x:c>
      <x:c r="B37" s="24" t="n">
        <x:v>10</x:v>
      </x:c>
      <x:c r="C37" s="23" t="str">
        <x:v>CS</x:v>
      </x:c>
      <x:c r="D37" s="23" t="str">
        <x:v>dMIC60-CS</x:v>
      </x:c>
      <x:c r="E37" s="24" t="n">
        <x:v>3</x:v>
      </x:c>
      <x:c r="F37" s="25" t="n">
        <x:v>57.30356257573417</x:v>
      </x:c>
    </x:row>
    <x:row r="38" ht="18" customHeight="1">
      <x:c r="A38" s="23" t="str">
        <x:v>7.28.26</x:v>
      </x:c>
      <x:c r="B38" s="24" t="n">
        <x:v>10</x:v>
      </x:c>
      <x:c r="C38" s="23" t="str">
        <x:v>CS</x:v>
      </x:c>
      <x:c r="D38" s="23" t="str">
        <x:v>dMIC60-CS</x:v>
      </x:c>
      <x:c r="E38" s="24" t="n">
        <x:v>4</x:v>
      </x:c>
      <x:c r="F38" s="25" t="n">
        <x:v>59.593639185816905</x:v>
      </x:c>
    </x:row>
    <x:row r="39" ht="18" customHeight="1">
      <x:c r="A39" s="23" t="str">
        <x:v>7.28.26</x:v>
      </x:c>
      <x:c r="B39" s="24" t="n">
        <x:v>10</x:v>
      </x:c>
      <x:c r="C39" s="23" t="str">
        <x:v>CS</x:v>
      </x:c>
      <x:c r="D39" s="23" t="str">
        <x:v>dMIC60-CS</x:v>
      </x:c>
      <x:c r="E39" s="24" t="n">
        <x:v>5</x:v>
      </x:c>
      <x:c r="F39" s="25" t="n">
        <x:v>60.437352971517996</x:v>
      </x:c>
    </x:row>
    <x:row r="40" ht="18" customHeight="1">
      <x:c r="A40" s="23" t="str">
        <x:v>7.28.26</x:v>
      </x:c>
      <x:c r="B40" s="24" t="n">
        <x:v>10</x:v>
      </x:c>
      <x:c r="C40" s="23" t="str">
        <x:v>CS</x:v>
      </x:c>
      <x:c r="D40" s="23" t="str">
        <x:v>dMIC60-CS</x:v>
      </x:c>
      <x:c r="E40" s="24" t="n">
        <x:v>6</x:v>
      </x:c>
      <x:c r="F40" s="25" t="n">
        <x:v>62.33140233738948</x:v>
      </x:c>
    </x:row>
    <x:row r="41" ht="18" customHeight="1">
      <x:c r="A41" s="23" t="str">
        <x:v>7.28.26</x:v>
      </x:c>
      <x:c r="B41" s="24" t="n">
        <x:v>20</x:v>
      </x:c>
      <x:c r="C41" s="23" t="str">
        <x:v>WT</x:v>
      </x:c>
      <x:c r="D41" s="23" t="str">
        <x:v>dMIC60-WT</x:v>
      </x:c>
      <x:c r="E41" s="24" t="n">
        <x:v>1</x:v>
      </x:c>
      <x:c r="F41" s="25" t="n">
        <x:v>27.57642668522953</x:v>
      </x:c>
    </x:row>
    <x:row r="42" ht="18" customHeight="1">
      <x:c r="A42" s="23" t="str">
        <x:v>7.28.26</x:v>
      </x:c>
      <x:c r="B42" s="24" t="n">
        <x:v>20</x:v>
      </x:c>
      <x:c r="C42" s="23" t="str">
        <x:v>WT</x:v>
      </x:c>
      <x:c r="D42" s="23" t="str">
        <x:v>dMIC60-WT</x:v>
      </x:c>
      <x:c r="E42" s="24" t="n">
        <x:v>2</x:v>
      </x:c>
      <x:c r="F42" s="25" t="n">
        <x:v>35.26630883111637</x:v>
      </x:c>
    </x:row>
    <x:row r="43" ht="18" customHeight="1">
      <x:c r="A43" s="23" t="str">
        <x:v>7.28.26</x:v>
      </x:c>
      <x:c r="B43" s="24" t="n">
        <x:v>20</x:v>
      </x:c>
      <x:c r="C43" s="23" t="str">
        <x:v>WT</x:v>
      </x:c>
      <x:c r="D43" s="23" t="str">
        <x:v>dMIC60-WT</x:v>
      </x:c>
      <x:c r="E43" s="24" t="n">
        <x:v>3</x:v>
      </x:c>
      <x:c r="F43" s="25" t="n">
        <x:v>38.40214153435814</x:v>
      </x:c>
    </x:row>
    <x:row r="44" ht="18" customHeight="1">
      <x:c r="A44" s="23" t="str">
        <x:v>7.28.26</x:v>
      </x:c>
      <x:c r="B44" s="24" t="n">
        <x:v>20</x:v>
      </x:c>
      <x:c r="C44" s="23" t="str">
        <x:v>WT</x:v>
      </x:c>
      <x:c r="D44" s="23" t="str">
        <x:v>dMIC60-WT</x:v>
      </x:c>
      <x:c r="E44" s="24" t="n">
        <x:v>4</x:v>
      </x:c>
      <x:c r="F44" s="25" t="n">
        <x:v>28.742516526098626</x:v>
      </x:c>
    </x:row>
    <x:row r="45" ht="18" customHeight="1">
      <x:c r="A45" s="23" t="str">
        <x:v>7.28.26</x:v>
      </x:c>
      <x:c r="B45" s="24" t="n">
        <x:v>20</x:v>
      </x:c>
      <x:c r="C45" s="23" t="str">
        <x:v>WT</x:v>
      </x:c>
      <x:c r="D45" s="23" t="str">
        <x:v>dMIC60-WT</x:v>
      </x:c>
      <x:c r="E45" s="24" t="n">
        <x:v>5</x:v>
      </x:c>
      <x:c r="F45" s="25" t="n">
        <x:v>30.239522040749346</x:v>
      </x:c>
    </x:row>
    <x:row r="46" ht="18" customHeight="1">
      <x:c r="A46" s="23" t="str">
        <x:v>7.28.26</x:v>
      </x:c>
      <x:c r="B46" s="24" t="n">
        <x:v>20</x:v>
      </x:c>
      <x:c r="C46" s="23" t="str">
        <x:v>WT</x:v>
      </x:c>
      <x:c r="D46" s="23" t="str">
        <x:v>dMIC60-WT</x:v>
      </x:c>
      <x:c r="E46" s="24" t="n">
        <x:v>6</x:v>
      </x:c>
      <x:c r="F46" s="25" t="n">
        <x:v>29.18373742447413</x:v>
      </x:c>
    </x:row>
    <x:row r="47" ht="18" customHeight="1">
      <x:c r="A47" s="23" t="str">
        <x:v>7.28.26</x:v>
      </x:c>
      <x:c r="B47" s="24" t="n">
        <x:v>20</x:v>
      </x:c>
      <x:c r="C47" s="23" t="str">
        <x:v>CS</x:v>
      </x:c>
      <x:c r="D47" s="23" t="str">
        <x:v>dMIC60-CS</x:v>
      </x:c>
      <x:c r="E47" s="24" t="n">
        <x:v>1</x:v>
      </x:c>
      <x:c r="F47" s="25" t="n">
        <x:v>33.98955288596825</x:v>
      </x:c>
    </x:row>
    <x:row r="48" ht="18" customHeight="1">
      <x:c r="A48" s="23" t="str">
        <x:v>7.28.26</x:v>
      </x:c>
      <x:c r="B48" s="24" t="n">
        <x:v>20</x:v>
      </x:c>
      <x:c r="C48" s="23" t="str">
        <x:v>CS</x:v>
      </x:c>
      <x:c r="D48" s="23" t="str">
        <x:v>dMIC60-CS</x:v>
      </x:c>
      <x:c r="E48" s="24" t="n">
        <x:v>2</x:v>
      </x:c>
      <x:c r="F48" s="25" t="n">
        <x:v>43.408140418047054</x:v>
      </x:c>
    </x:row>
    <x:row r="49" ht="18" customHeight="1">
      <x:c r="A49" s="23" t="str">
        <x:v>7.28.26</x:v>
      </x:c>
      <x:c r="B49" s="24" t="n">
        <x:v>20</x:v>
      </x:c>
      <x:c r="C49" s="23" t="str">
        <x:v>CS</x:v>
      </x:c>
      <x:c r="D49" s="23" t="str">
        <x:v>dMIC60-CS</x:v>
      </x:c>
      <x:c r="E49" s="24" t="n">
        <x:v>3</x:v>
      </x:c>
      <x:c r="F49" s="25" t="n">
        <x:v>46.214774080077156</x:v>
      </x:c>
    </x:row>
    <x:row r="50" ht="18" customHeight="1">
      <x:c r="A50" s="23" t="str">
        <x:v>7.28.26</x:v>
      </x:c>
      <x:c r="B50" s="24" t="n">
        <x:v>20</x:v>
      </x:c>
      <x:c r="C50" s="23" t="str">
        <x:v>CS</x:v>
      </x:c>
      <x:c r="D50" s="23" t="str">
        <x:v>dMIC60-CS</x:v>
      </x:c>
      <x:c r="E50" s="24" t="n">
        <x:v>4</x:v>
      </x:c>
      <x:c r="F50" s="25" t="n">
        <x:v>43.20151349202943</x:v>
      </x:c>
    </x:row>
    <x:row r="51" ht="18" customHeight="1">
      <x:c r="A51" s="23" t="str">
        <x:v>7.28.26</x:v>
      </x:c>
      <x:c r="B51" s="24" t="n">
        <x:v>20</x:v>
      </x:c>
      <x:c r="C51" s="23" t="str">
        <x:v>CS</x:v>
      </x:c>
      <x:c r="D51" s="23" t="str">
        <x:v>dMIC60-CS</x:v>
      </x:c>
      <x:c r="E51" s="24" t="n">
        <x:v>5</x:v>
      </x:c>
      <x:c r="F51" s="25" t="n">
        <x:v>49.07306703938584</x:v>
      </x:c>
    </x:row>
    <x:row r="52" ht="18" customHeight="1">
      <x:c r="A52" s="23" t="str">
        <x:v>7.28.26</x:v>
      </x:c>
      <x:c r="B52" s="24" t="n">
        <x:v>20</x:v>
      </x:c>
      <x:c r="C52" s="23" t="str">
        <x:v>CS</x:v>
      </x:c>
      <x:c r="D52" s="23" t="str">
        <x:v>dMIC60-CS</x:v>
      </x:c>
      <x:c r="E52" s="24" t="n">
        <x:v>6</x:v>
      </x:c>
      <x:c r="F52" s="25" t="n">
        <x:v>43.35648112076847</x:v>
      </x:c>
    </x:row>
    <x:row r="53" ht="18" customHeight="1">
      <x:c r="A53" s="23" t="str">
        <x:v>7.28.26</x:v>
      </x:c>
      <x:c r="B53" s="24" t="n">
        <x:v>40</x:v>
      </x:c>
      <x:c r="C53" s="23" t="str">
        <x:v>WT</x:v>
      </x:c>
      <x:c r="D53" s="23" t="str">
        <x:v>dMIC60-WT</x:v>
      </x:c>
      <x:c r="E53" s="24" t="n">
        <x:v>1</x:v>
      </x:c>
      <x:c r="F53" s="25" t="n">
        <x:v>15.553105545885392</x:v>
      </x:c>
    </x:row>
    <x:row r="54" ht="18" customHeight="1">
      <x:c r="A54" s="23" t="str">
        <x:v>7.28.26</x:v>
      </x:c>
      <x:c r="B54" s="24" t="n">
        <x:v>40</x:v>
      </x:c>
      <x:c r="C54" s="23" t="str">
        <x:v>WT</x:v>
      </x:c>
      <x:c r="D54" s="23" t="str">
        <x:v>dMIC60-WT</x:v>
      </x:c>
      <x:c r="E54" s="24" t="n">
        <x:v>2</x:v>
      </x:c>
      <x:c r="F54" s="25" t="n">
        <x:v>18.310747901325854</x:v>
      </x:c>
    </x:row>
    <x:row r="55" ht="18" customHeight="1">
      <x:c r="A55" s="23" t="str">
        <x:v>7.28.26</x:v>
      </x:c>
      <x:c r="B55" s="24" t="n">
        <x:v>40</x:v>
      </x:c>
      <x:c r="C55" s="23" t="str">
        <x:v>WT</x:v>
      </x:c>
      <x:c r="D55" s="23" t="str">
        <x:v>dMIC60-WT</x:v>
      </x:c>
      <x:c r="E55" s="24" t="n">
        <x:v>3</x:v>
      </x:c>
      <x:c r="F55" s="25" t="n">
        <x:v>19.49259361874946</x:v>
      </x:c>
    </x:row>
    <x:row r="56" ht="18" customHeight="1">
      <x:c r="A56" s="23" t="str">
        <x:v>7.28.26</x:v>
      </x:c>
      <x:c r="B56" s="24" t="n">
        <x:v>40</x:v>
      </x:c>
      <x:c r="C56" s="23" t="str">
        <x:v>WT</x:v>
      </x:c>
      <x:c r="D56" s="23" t="str">
        <x:v>dMIC60-WT</x:v>
      </x:c>
      <x:c r="E56" s="24" t="n">
        <x:v>4</x:v>
      </x:c>
      <x:c r="F56" s="25" t="n">
        <x:v>20.690199908965003</x:v>
      </x:c>
    </x:row>
    <x:row r="57" ht="18" customHeight="1">
      <x:c r="A57" s="23" t="str">
        <x:v>7.28.26</x:v>
      </x:c>
      <x:c r="B57" s="24" t="n">
        <x:v>40</x:v>
      </x:c>
      <x:c r="C57" s="23" t="str">
        <x:v>WT</x:v>
      </x:c>
      <x:c r="D57" s="23" t="str">
        <x:v>dMIC60-WT</x:v>
      </x:c>
      <x:c r="E57" s="24" t="n">
        <x:v>5</x:v>
      </x:c>
      <x:c r="F57" s="25" t="n">
        <x:v>17.317996183743546</x:v>
      </x:c>
    </x:row>
    <x:row r="58" ht="18" customHeight="1">
      <x:c r="A58" s="23" t="str">
        <x:v>7.28.26</x:v>
      </x:c>
      <x:c r="B58" s="24" t="n">
        <x:v>40</x:v>
      </x:c>
      <x:c r="C58" s="23" t="str">
        <x:v>WT</x:v>
      </x:c>
      <x:c r="D58" s="23" t="str">
        <x:v>dMIC60-WT</x:v>
      </x:c>
      <x:c r="E58" s="24" t="n">
        <x:v>6</x:v>
      </x:c>
      <x:c r="F58" s="25" t="n">
        <x:v>16.088875792300257</x:v>
      </x:c>
    </x:row>
    <x:row r="59" ht="18" customHeight="1">
      <x:c r="A59" s="23" t="str">
        <x:v>7.28.26</x:v>
      </x:c>
      <x:c r="B59" s="24" t="n">
        <x:v>40</x:v>
      </x:c>
      <x:c r="C59" s="23" t="str">
        <x:v>CS</x:v>
      </x:c>
      <x:c r="D59" s="23" t="str">
        <x:v>dMIC60-CS</x:v>
      </x:c>
      <x:c r="E59" s="24" t="n">
        <x:v>1</x:v>
      </x:c>
      <x:c r="F59" s="25" t="n">
        <x:v>21.540493552662777</x:v>
      </x:c>
    </x:row>
    <x:row r="60" ht="18" customHeight="1">
      <x:c r="A60" s="23" t="str">
        <x:v>7.28.26</x:v>
      </x:c>
      <x:c r="B60" s="24" t="n">
        <x:v>40</x:v>
      </x:c>
      <x:c r="C60" s="23" t="str">
        <x:v>CS</x:v>
      </x:c>
      <x:c r="D60" s="23" t="str">
        <x:v>dMIC60-CS</x:v>
      </x:c>
      <x:c r="E60" s="24" t="n">
        <x:v>2</x:v>
      </x:c>
      <x:c r="F60" s="25" t="n">
        <x:v>23.31401054502397</x:v>
      </x:c>
    </x:row>
    <x:row r="61" ht="18" customHeight="1">
      <x:c r="A61" s="23" t="str">
        <x:v>7.28.26</x:v>
      </x:c>
      <x:c r="B61" s="24" t="n">
        <x:v>40</x:v>
      </x:c>
      <x:c r="C61" s="23" t="str">
        <x:v>CS</x:v>
      </x:c>
      <x:c r="D61" s="23" t="str">
        <x:v>dMIC60-CS</x:v>
      </x:c>
      <x:c r="E61" s="24" t="n">
        <x:v>3</x:v>
      </x:c>
      <x:c r="F61" s="25" t="n">
        <x:v>26.3961442093034</x:v>
      </x:c>
    </x:row>
    <x:row r="62" ht="18" customHeight="1">
      <x:c r="A62" s="23" t="str">
        <x:v>7.28.26</x:v>
      </x:c>
      <x:c r="B62" s="24" t="n">
        <x:v>40</x:v>
      </x:c>
      <x:c r="C62" s="23" t="str">
        <x:v>CS</x:v>
      </x:c>
      <x:c r="D62" s="23" t="str">
        <x:v>dMIC60-CS</x:v>
      </x:c>
      <x:c r="E62" s="24" t="n">
        <x:v>4</x:v>
      </x:c>
      <x:c r="F62" s="25" t="n">
        <x:v>26.688857990505845</x:v>
      </x:c>
    </x:row>
    <x:row r="63" ht="18" customHeight="1">
      <x:c r="A63" s="23" t="str">
        <x:v>7.28.26</x:v>
      </x:c>
      <x:c r="B63" s="24" t="n">
        <x:v>40</x:v>
      </x:c>
      <x:c r="C63" s="23" t="str">
        <x:v>CS</x:v>
      </x:c>
      <x:c r="D63" s="23" t="str">
        <x:v>dMIC60-CS</x:v>
      </x:c>
      <x:c r="E63" s="24" t="n">
        <x:v>5</x:v>
      </x:c>
      <x:c r="F63" s="25" t="n">
        <x:v>25.431900615866194</x:v>
      </x:c>
    </x:row>
    <x:row r="64" ht="18" customHeight="1">
      <x:c r="A64" s="23" t="str">
        <x:v>7.28.26</x:v>
      </x:c>
      <x:c r="B64" s="24" t="n">
        <x:v>40</x:v>
      </x:c>
      <x:c r="C64" s="23" t="str">
        <x:v>CS</x:v>
      </x:c>
      <x:c r="D64" s="23" t="str">
        <x:v>dMIC60-CS</x:v>
      </x:c>
      <x:c r="E64" s="24" t="n">
        <x:v>6</x:v>
      </x:c>
      <x:c r="F64" s="25" t="n">
        <x:v>24.622624651168028</x:v>
      </x:c>
    </x:row>
    <x:row r="65" ht="18" customHeight="1">
      <x:c r="A65" s="23" t="str">
        <x:v>7.15.26</x:v>
      </x:c>
      <x:c r="B65" s="24" t="n">
        <x:v>0</x:v>
      </x:c>
      <x:c r="C65" s="23" t="str">
        <x:v>WT</x:v>
      </x:c>
      <x:c r="D65" s="23" t="str">
        <x:v>dMIC60-WT</x:v>
      </x:c>
      <x:c r="E65" s="24" t="n">
        <x:v>1</x:v>
      </x:c>
      <x:c r="F65" s="25" t="n">
        <x:v>99.18978277005</x:v>
      </x:c>
    </x:row>
    <x:row r="66" ht="18" customHeight="1">
      <x:c r="A66" s="23" t="str">
        <x:v>7.15.26</x:v>
      </x:c>
      <x:c r="B66" s="24" t="n">
        <x:v>0</x:v>
      </x:c>
      <x:c r="C66" s="23" t="str">
        <x:v>WT</x:v>
      </x:c>
      <x:c r="D66" s="23" t="str">
        <x:v>dMIC60-WT</x:v>
      </x:c>
      <x:c r="E66" s="24" t="n">
        <x:v>2</x:v>
      </x:c>
      <x:c r="F66" s="25" t="n">
        <x:v>98.04491166234928</x:v>
      </x:c>
    </x:row>
    <x:row r="67" ht="18" customHeight="1">
      <x:c r="A67" s="23" t="str">
        <x:v>7.15.26</x:v>
      </x:c>
      <x:c r="B67" s="24" t="n">
        <x:v>0</x:v>
      </x:c>
      <x:c r="C67" s="23" t="str">
        <x:v>WT</x:v>
      </x:c>
      <x:c r="D67" s="23" t="str">
        <x:v>dMIC60-WT</x:v>
      </x:c>
      <x:c r="E67" s="24" t="n">
        <x:v>3</x:v>
      </x:c>
      <x:c r="F67" s="25" t="n">
        <x:v>102.7653055676007</x:v>
      </x:c>
    </x:row>
    <x:row r="68" ht="18" customHeight="1">
      <x:c r="A68" s="23" t="str">
        <x:v>7.15.26</x:v>
      </x:c>
      <x:c r="B68" s="24" t="n">
        <x:v>0</x:v>
      </x:c>
      <x:c r="C68" s="23" t="str">
        <x:v>CS</x:v>
      </x:c>
      <x:c r="D68" s="23" t="str">
        <x:v>dMIC60-CS</x:v>
      </x:c>
      <x:c r="E68" s="24" t="n">
        <x:v>1</x:v>
      </x:c>
      <x:c r="F68" s="25" t="n">
        <x:v>77.08379941130245</x:v>
      </x:c>
    </x:row>
    <x:row r="69" ht="18" customHeight="1">
      <x:c r="A69" s="23" t="str">
        <x:v>7.15.26</x:v>
      </x:c>
      <x:c r="B69" s="24" t="n">
        <x:v>0</x:v>
      </x:c>
      <x:c r="C69" s="23" t="str">
        <x:v>CS</x:v>
      </x:c>
      <x:c r="D69" s="23" t="str">
        <x:v>dMIC60-CS</x:v>
      </x:c>
      <x:c r="E69" s="24" t="n">
        <x:v>2</x:v>
      </x:c>
      <x:c r="F69" s="25" t="n">
        <x:v>119.9812151765317</x:v>
      </x:c>
    </x:row>
    <x:row r="70" ht="18" customHeight="1">
      <x:c r="A70" s="23" t="str">
        <x:v>7.15.26</x:v>
      </x:c>
      <x:c r="B70" s="24" t="n">
        <x:v>0</x:v>
      </x:c>
      <x:c r="C70" s="23" t="str">
        <x:v>CS</x:v>
      </x:c>
      <x:c r="D70" s="23" t="str">
        <x:v>dMIC60-CS</x:v>
      </x:c>
      <x:c r="E70" s="24" t="n">
        <x:v>3</x:v>
      </x:c>
      <x:c r="F70" s="25" t="n">
        <x:v>102.93498541216583</x:v>
      </x:c>
    </x:row>
    <x:row r="71" ht="18" customHeight="1">
      <x:c r="A71" s="23" t="str">
        <x:v>7.15.26</x:v>
      </x:c>
      <x:c r="B71" s="24" t="n">
        <x:v>20</x:v>
      </x:c>
      <x:c r="C71" s="23" t="str">
        <x:v>WT</x:v>
      </x:c>
      <x:c r="D71" s="23" t="str">
        <x:v>dMIC60-WT</x:v>
      </x:c>
      <x:c r="E71" s="24" t="n">
        <x:v>1</x:v>
      </x:c>
      <x:c r="F71" s="25" t="n">
        <x:v>23.170407358618135</x:v>
      </x:c>
    </x:row>
    <x:row r="72" ht="18" customHeight="1">
      <x:c r="A72" s="23" t="str">
        <x:v>7.15.26</x:v>
      </x:c>
      <x:c r="B72" s="24" t="n">
        <x:v>20</x:v>
      </x:c>
      <x:c r="C72" s="23" t="str">
        <x:v>WT</x:v>
      </x:c>
      <x:c r="D72" s="23" t="str">
        <x:v>dMIC60-WT</x:v>
      </x:c>
      <x:c r="E72" s="24" t="n">
        <x:v>2</x:v>
      </x:c>
      <x:c r="F72" s="25" t="n">
        <x:v>23.170407358618135</x:v>
      </x:c>
    </x:row>
    <x:row r="73" ht="18" customHeight="1">
      <x:c r="A73" s="23" t="str">
        <x:v>7.15.26</x:v>
      </x:c>
      <x:c r="B73" s="24" t="n">
        <x:v>20</x:v>
      </x:c>
      <x:c r="C73" s="23" t="str">
        <x:v>WT</x:v>
      </x:c>
      <x:c r="D73" s="23" t="str">
        <x:v>dMIC60-WT</x:v>
      </x:c>
      <x:c r="E73" s="24" t="n">
        <x:v>3</x:v>
      </x:c>
      <x:c r="F73" s="25" t="n">
        <x:v>27.855568646059297</x:v>
      </x:c>
    </x:row>
    <x:row r="74" ht="18" customHeight="1">
      <x:c r="A74" s="23" t="str">
        <x:v>7.15.26</x:v>
      </x:c>
      <x:c r="B74" s="24" t="n">
        <x:v>20</x:v>
      </x:c>
      <x:c r="C74" s="23" t="str">
        <x:v>CS</x:v>
      </x:c>
      <x:c r="D74" s="23" t="str">
        <x:v>dMIC60-CS</x:v>
      </x:c>
      <x:c r="E74" s="24" t="n">
        <x:v>1</x:v>
      </x:c>
      <x:c r="F74" s="25" t="n">
        <x:v>35.47492241267488</x:v>
      </x:c>
    </x:row>
    <x:row r="75" ht="18" customHeight="1">
      <x:c r="A75" s="23" t="str">
        <x:v>7.15.26</x:v>
      </x:c>
      <x:c r="B75" s="24" t="n">
        <x:v>20</x:v>
      </x:c>
      <x:c r="C75" s="23" t="str">
        <x:v>CS</x:v>
      </x:c>
      <x:c r="D75" s="23" t="str">
        <x:v>dMIC60-CS</x:v>
      </x:c>
      <x:c r="E75" s="24" t="n">
        <x:v>2</x:v>
      </x:c>
      <x:c r="F75" s="25" t="n">
        <x:v>47.98442560308577</x:v>
      </x:c>
    </x:row>
    <x:row r="76" ht="18" customHeight="1">
      <x:c r="A76" s="23" t="str">
        <x:v>7.15.26</x:v>
      </x:c>
      <x:c r="B76" s="24" t="n">
        <x:v>20</x:v>
      </x:c>
      <x:c r="C76" s="23" t="str">
        <x:v>CS</x:v>
      </x:c>
      <x:c r="D76" s="23" t="str">
        <x:v>dMIC60-CS</x:v>
      </x:c>
      <x:c r="E76" s="24" t="n">
        <x:v>3</x:v>
      </x:c>
      <x:c r="F76" s="25" t="n">
        <x:v>45.24629472452191</x:v>
      </x:c>
    </x:row>
    <x:row r="77" ht="18" customHeight="1">
      <x:c r="A77" s="23" t="str">
        <x:v>7.15.26</x:v>
      </x:c>
      <x:c r="B77" s="24" t="n">
        <x:v>40</x:v>
      </x:c>
      <x:c r="C77" s="23" t="str">
        <x:v>WT</x:v>
      </x:c>
      <x:c r="D77" s="23" t="str">
        <x:v>dMIC60-WT</x:v>
      </x:c>
      <x:c r="E77" s="24" t="n">
        <x:v>1</x:v>
      </x:c>
      <x:c r="F77" s="25" t="n">
        <x:v>6.701893364547923</x:v>
      </x:c>
    </x:row>
    <x:row r="78" ht="18" customHeight="1">
      <x:c r="A78" s="23" t="str">
        <x:v>7.15.26</x:v>
      </x:c>
      <x:c r="B78" s="24" t="n">
        <x:v>40</x:v>
      </x:c>
      <x:c r="C78" s="23" t="str">
        <x:v>WT</x:v>
      </x:c>
      <x:c r="D78" s="23" t="str">
        <x:v>dMIC60-WT</x:v>
      </x:c>
      <x:c r="E78" s="24" t="n">
        <x:v>2</x:v>
      </x:c>
      <x:c r="F78" s="25" t="n">
        <x:v>8.656978202733221</x:v>
      </x:c>
    </x:row>
    <x:row r="79" ht="18" customHeight="1">
      <x:c r="A79" s="23" t="str">
        <x:v>7.15.26</x:v>
      </x:c>
      <x:c r="B79" s="24" t="n">
        <x:v>40</x:v>
      </x:c>
      <x:c r="C79" s="23" t="str">
        <x:v>WT</x:v>
      </x:c>
      <x:c r="D79" s="23" t="str">
        <x:v>dMIC60-WT</x:v>
      </x:c>
      <x:c r="E79" s="24" t="n">
        <x:v>3</x:v>
      </x:c>
      <x:c r="F79" s="25" t="n">
        <x:v>9.960369844589462</x:v>
      </x:c>
    </x:row>
    <x:row r="80" ht="18" customHeight="1">
      <x:c r="A80" s="23" t="str">
        <x:v>7.15.26</x:v>
      </x:c>
      <x:c r="B80" s="24" t="n">
        <x:v>40</x:v>
      </x:c>
      <x:c r="C80" s="23" t="str">
        <x:v>CS</x:v>
      </x:c>
      <x:c r="D80" s="23" t="str">
        <x:v>dMIC60-CS</x:v>
      </x:c>
      <x:c r="E80" s="24" t="n">
        <x:v>1</x:v>
      </x:c>
      <x:c r="F80" s="25" t="n">
        <x:v>15.019459495860668</x:v>
      </x:c>
    </x:row>
    <x:row r="81" ht="18" customHeight="1">
      <x:c r="A81" s="23" t="str">
        <x:v>7.15.26</x:v>
      </x:c>
      <x:c r="B81" s="24" t="n">
        <x:v>40</x:v>
      </x:c>
      <x:c r="C81" s="23" t="str">
        <x:v>CS</x:v>
      </x:c>
      <x:c r="D81" s="23" t="str">
        <x:v>dMIC60-CS</x:v>
      </x:c>
      <x:c r="E81" s="24" t="n">
        <x:v>2</x:v>
      </x:c>
      <x:c r="F81" s="25" t="n">
        <x:v>14.29466343987957</x:v>
      </x:c>
    </x:row>
    <x:row r="82" ht="18" customHeight="1">
      <x:c r="A82" s="26" t="str">
        <x:v>7.15.26</x:v>
      </x:c>
      <x:c r="B82" s="27" t="n">
        <x:v>40</x:v>
      </x:c>
      <x:c r="C82" s="26" t="str">
        <x:v>CS</x:v>
      </x:c>
      <x:c r="D82" s="26" t="str">
        <x:v>dMIC60-CS</x:v>
      </x:c>
      <x:c r="E82" s="27" t="n">
        <x:v>3</x:v>
      </x:c>
      <x:c r="F82" s="28" t="n">
        <x:v>10.992797850960672</x:v>
      </x:c>
    </x:row>
  </x:sheetData>
  <x:mergeCells>
    <x:mergeCell ref="A1:F1"/>
    <x:mergeCell ref="A2:F2"/>
  </x:mergeCells>
  <x:conditionalFormatting sqref="D5:D82">
    <x:cfRule type="expression" dxfId="1" priority="1">
      <x:formula>D5="dMIC60-WT"</x:formula>
    </x:cfRule>
    <x:cfRule type="expression" dxfId="2" priority="2">
      <x:formula>D5="dMIC60-CS"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c49512f36744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8" hidden="0" customWidth="1"/>
    <x:col min="5" max="5" width="21" hidden="0" customWidth="1"/>
    <x:col min="6" max="6" width="21" hidden="0" customWidth="1"/>
    <x:col min="7" max="7" width="13" hidden="0" customWidth="1"/>
  </x:cols>
  <x:sheetData>
    <x:row r="1" ht="28" customHeight="1">
      <x:c r="A1" s="4" t="str">
        <x:v>Experiment-level means</x:v>
      </x:c>
    </x:row>
    <x:row r="2" ht="31" customHeight="1">
      <x:c r="A2" s="8" t="str">
        <x:v>Means of technical wells plotted as the larger black points in Figure 4B</x:v>
      </x:c>
    </x:row>
    <x:row r="4" ht="28" customHeight="1">
      <x:c r="A4" s="13" t="str">
        <x:v>Experiment</x:v>
      </x:c>
      <x:c r="B4" s="13" t="str">
        <x:v>Dose (mM)</x:v>
      </x:c>
      <x:c r="C4" s="13" t="str">
        <x:v>Source genotype</x:v>
      </x:c>
      <x:c r="D4" s="13" t="str">
        <x:v>Graph label</x:v>
      </x:c>
      <x:c r="E4" s="13" t="str">
        <x:v>Experiment mean (%)</x:v>
      </x:c>
      <x:c r="F4" s="13" t="str">
        <x:v>Technical-well SD</x:v>
      </x:c>
      <x:c r="G4" s="13" t="str">
        <x:v>Technical n</x:v>
      </x:c>
    </x:row>
    <x:row r="5">
      <x:c r="A5" s="29" t="str">
        <x:v>7.15.26</x:v>
      </x:c>
      <x:c r="B5" s="21" t="n">
        <x:v>0</x:v>
      </x:c>
      <x:c r="C5" s="29" t="str">
        <x:v>WT</x:v>
      </x:c>
      <x:c r="D5" s="29" t="str">
        <x:v>dMIC60-WT</x:v>
      </x:c>
      <x:c r="E5" s="22" t="n">
        <x:v>100</x:v>
      </x:c>
      <x:c r="F5" s="22" t="n">
        <x:v>2.4622893057</x:v>
      </x:c>
      <x:c r="G5" s="21" t="n">
        <x:v>3</x:v>
      </x:c>
    </x:row>
    <x:row r="6">
      <x:c r="A6" s="29" t="str">
        <x:v>7.28.26</x:v>
      </x:c>
      <x:c r="B6" s="21" t="n">
        <x:v>0</x:v>
      </x:c>
      <x:c r="C6" s="29" t="str">
        <x:v>WT</x:v>
      </x:c>
      <x:c r="D6" s="29" t="str">
        <x:v>dMIC60-WT</x:v>
      </x:c>
      <x:c r="E6" s="22" t="n">
        <x:v>100</x:v>
      </x:c>
      <x:c r="F6" s="22" t="n">
        <x:v>5.26443133741873</x:v>
      </x:c>
      <x:c r="G6" s="21" t="n">
        <x:v>6</x:v>
      </x:c>
    </x:row>
    <x:row r="7">
      <x:c r="A7" s="29" t="str">
        <x:v>7.28.26</x:v>
      </x:c>
      <x:c r="B7" s="21" t="n">
        <x:v>5</x:v>
      </x:c>
      <x:c r="C7" s="29" t="str">
        <x:v>WT</x:v>
      </x:c>
      <x:c r="D7" s="29" t="str">
        <x:v>dMIC60-WT</x:v>
      </x:c>
      <x:c r="E7" s="22" t="n">
        <x:v>48.2351093621418</x:v>
      </x:c>
      <x:c r="F7" s="22" t="n">
        <x:v>5.63948169219741</x:v>
      </x:c>
      <x:c r="G7" s="21" t="n">
        <x:v>6</x:v>
      </x:c>
    </x:row>
    <x:row r="8">
      <x:c r="A8" s="29" t="str">
        <x:v>7.28.26</x:v>
      </x:c>
      <x:c r="B8" s="21" t="n">
        <x:v>10</x:v>
      </x:c>
      <x:c r="C8" s="29" t="str">
        <x:v>WT</x:v>
      </x:c>
      <x:c r="D8" s="29" t="str">
        <x:v>dMIC60-WT</x:v>
      </x:c>
      <x:c r="E8" s="22" t="n">
        <x:v>45.2936241830054</x:v>
      </x:c>
      <x:c r="F8" s="22" t="n">
        <x:v>4.83085371461071</x:v>
      </x:c>
      <x:c r="G8" s="21" t="n">
        <x:v>6</x:v>
      </x:c>
    </x:row>
    <x:row r="9">
      <x:c r="A9" s="29" t="str">
        <x:v>7.15.26</x:v>
      </x:c>
      <x:c r="B9" s="21" t="n">
        <x:v>20</x:v>
      </x:c>
      <x:c r="C9" s="29" t="str">
        <x:v>WT</x:v>
      </x:c>
      <x:c r="D9" s="29" t="str">
        <x:v>dMIC60-WT</x:v>
      </x:c>
      <x:c r="E9" s="22" t="n">
        <x:v>24.7321277877652</x:v>
      </x:c>
      <x:c r="F9" s="22" t="n">
        <x:v>2.70497913050097</x:v>
      </x:c>
      <x:c r="G9" s="21" t="n">
        <x:v>3</x:v>
      </x:c>
    </x:row>
    <x:row r="10">
      <x:c r="A10" s="29" t="str">
        <x:v>7.28.26</x:v>
      </x:c>
      <x:c r="B10" s="21" t="n">
        <x:v>20</x:v>
      </x:c>
      <x:c r="C10" s="29" t="str">
        <x:v>WT</x:v>
      </x:c>
      <x:c r="D10" s="29" t="str">
        <x:v>dMIC60-WT</x:v>
      </x:c>
      <x:c r="E10" s="22" t="n">
        <x:v>31.568442173671</x:v>
      </x:c>
      <x:c r="F10" s="22" t="n">
        <x:v>4.28365623398033</x:v>
      </x:c>
      <x:c r="G10" s="21" t="n">
        <x:v>6</x:v>
      </x:c>
    </x:row>
    <x:row r="11">
      <x:c r="A11" s="29" t="str">
        <x:v>7.15.26</x:v>
      </x:c>
      <x:c r="B11" s="21" t="n">
        <x:v>40</x:v>
      </x:c>
      <x:c r="C11" s="29" t="str">
        <x:v>WT</x:v>
      </x:c>
      <x:c r="D11" s="29" t="str">
        <x:v>dMIC60-WT</x:v>
      </x:c>
      <x:c r="E11" s="22" t="n">
        <x:v>8.4397471372902</x:v>
      </x:c>
      <x:c r="F11" s="22" t="n">
        <x:v>1.64006379284194</x:v>
      </x:c>
      <x:c r="G11" s="21" t="n">
        <x:v>3</x:v>
      </x:c>
    </x:row>
    <x:row r="12">
      <x:c r="A12" s="29" t="str">
        <x:v>7.28.26</x:v>
      </x:c>
      <x:c r="B12" s="21" t="n">
        <x:v>40</x:v>
      </x:c>
      <x:c r="C12" s="29" t="str">
        <x:v>WT</x:v>
      </x:c>
      <x:c r="D12" s="29" t="str">
        <x:v>dMIC60-WT</x:v>
      </x:c>
      <x:c r="E12" s="22" t="n">
        <x:v>17.9089198251616</x:v>
      </x:c>
      <x:c r="F12" s="22" t="n">
        <x:v>1.98073821298196</x:v>
      </x:c>
      <x:c r="G12" s="21" t="n">
        <x:v>6</x:v>
      </x:c>
    </x:row>
    <x:row r="13">
      <x:c r="A13" s="29" t="str">
        <x:v>7.15.26</x:v>
      </x:c>
      <x:c r="B13" s="21" t="n">
        <x:v>0</x:v>
      </x:c>
      <x:c r="C13" s="29" t="str">
        <x:v>CS</x:v>
      </x:c>
      <x:c r="D13" s="29" t="str">
        <x:v>dMIC60-CS</x:v>
      </x:c>
      <x:c r="E13" s="22" t="n">
        <x:v>100</x:v>
      </x:c>
      <x:c r="F13" s="22" t="n">
        <x:v>21.5987887243927</x:v>
      </x:c>
      <x:c r="G13" s="21" t="n">
        <x:v>3</x:v>
      </x:c>
    </x:row>
    <x:row r="14">
      <x:c r="A14" s="29" t="str">
        <x:v>7.28.26</x:v>
      </x:c>
      <x:c r="B14" s="21" t="n">
        <x:v>0</x:v>
      </x:c>
      <x:c r="C14" s="29" t="str">
        <x:v>CS</x:v>
      </x:c>
      <x:c r="D14" s="29" t="str">
        <x:v>dMIC60-CS</x:v>
      </x:c>
      <x:c r="E14" s="22" t="n">
        <x:v>100</x:v>
      </x:c>
      <x:c r="F14" s="22" t="n">
        <x:v>5.0777187703371</x:v>
      </x:c>
      <x:c r="G14" s="21" t="n">
        <x:v>6</x:v>
      </x:c>
    </x:row>
    <x:row r="15">
      <x:c r="A15" s="29" t="str">
        <x:v>7.28.26</x:v>
      </x:c>
      <x:c r="B15" s="21" t="n">
        <x:v>5</x:v>
      </x:c>
      <x:c r="C15" s="29" t="str">
        <x:v>CS</x:v>
      </x:c>
      <x:c r="D15" s="29" t="str">
        <x:v>dMIC60-CS</x:v>
      </x:c>
      <x:c r="E15" s="22" t="n">
        <x:v>61.8951959248253</x:v>
      </x:c>
      <x:c r="F15" s="22" t="n">
        <x:v>7.0972587064545</x:v>
      </x:c>
      <x:c r="G15" s="21" t="n">
        <x:v>6</x:v>
      </x:c>
    </x:row>
    <x:row r="16">
      <x:c r="A16" s="29" t="str">
        <x:v>7.28.26</x:v>
      </x:c>
      <x:c r="B16" s="21" t="n">
        <x:v>10</x:v>
      </x:c>
      <x:c r="C16" s="29" t="str">
        <x:v>CS</x:v>
      </x:c>
      <x:c r="D16" s="29" t="str">
        <x:v>dMIC60-CS</x:v>
      </x:c>
      <x:c r="E16" s="22" t="n">
        <x:v>59.4185849663046</x:v>
      </x:c>
      <x:c r="F16" s="22" t="n">
        <x:v>3.23065406380863</x:v>
      </x:c>
      <x:c r="G16" s="21" t="n">
        <x:v>6</x:v>
      </x:c>
    </x:row>
    <x:row r="17">
      <x:c r="A17" s="29" t="str">
        <x:v>7.15.26</x:v>
      </x:c>
      <x:c r="B17" s="21" t="n">
        <x:v>20</x:v>
      </x:c>
      <x:c r="C17" s="29" t="str">
        <x:v>CS</x:v>
      </x:c>
      <x:c r="D17" s="29" t="str">
        <x:v>dMIC60-CS</x:v>
      </x:c>
      <x:c r="E17" s="22" t="n">
        <x:v>42.9018809134275</x:v>
      </x:c>
      <x:c r="F17" s="22" t="n">
        <x:v>6.5760265058744</x:v>
      </x:c>
      <x:c r="G17" s="21" t="n">
        <x:v>3</x:v>
      </x:c>
    </x:row>
    <x:row r="18">
      <x:c r="A18" s="29" t="str">
        <x:v>7.28.26</x:v>
      </x:c>
      <x:c r="B18" s="21" t="n">
        <x:v>20</x:v>
      </x:c>
      <x:c r="C18" s="29" t="str">
        <x:v>CS</x:v>
      </x:c>
      <x:c r="D18" s="29" t="str">
        <x:v>dMIC60-CS</x:v>
      </x:c>
      <x:c r="E18" s="22" t="n">
        <x:v>43.2072548393794</x:v>
      </x:c>
      <x:c r="F18" s="22" t="n">
        <x:v>5.06915398291815</x:v>
      </x:c>
      <x:c r="G18" s="21" t="n">
        <x:v>6</x:v>
      </x:c>
    </x:row>
    <x:row r="19">
      <x:c r="A19" s="29" t="str">
        <x:v>7.15.26</x:v>
      </x:c>
      <x:c r="B19" s="21" t="n">
        <x:v>40</x:v>
      </x:c>
      <x:c r="C19" s="29" t="str">
        <x:v>CS</x:v>
      </x:c>
      <x:c r="D19" s="29" t="str">
        <x:v>dMIC60-CS</x:v>
      </x:c>
      <x:c r="E19" s="22" t="n">
        <x:v>13.4356402622336</x:v>
      </x:c>
      <x:c r="F19" s="22" t="n">
        <x:v>2.14637872134134</x:v>
      </x:c>
      <x:c r="G19" s="21" t="n">
        <x:v>3</x:v>
      </x:c>
    </x:row>
    <x:row r="20">
      <x:c r="A20" s="30" t="str">
        <x:v>7.28.26</x:v>
      </x:c>
      <x:c r="B20" s="31" t="n">
        <x:v>40</x:v>
      </x:c>
      <x:c r="C20" s="30" t="str">
        <x:v>CS</x:v>
      </x:c>
      <x:c r="D20" s="30" t="str">
        <x:v>dMIC60-CS</x:v>
      </x:c>
      <x:c r="E20" s="32" t="n">
        <x:v>24.6656719274217</x:v>
      </x:c>
      <x:c r="F20" s="32" t="n">
        <x:v>1.96318638961934</x:v>
      </x:c>
      <x:c r="G20" s="31" t="n">
        <x:v>6</x:v>
      </x:c>
    </x:row>
  </x:sheetData>
  <x:mergeCells>
    <x:mergeCell ref="A1:G1"/>
    <x:mergeCell ref="A2:G2"/>
  </x:mergeCells>
  <x:conditionalFormatting sqref="D5:D20">
    <x:cfRule type="expression" dxfId="3" priority="1">
      <x:formula>D5="dMIC60-WT"</x:formula>
    </x:cfRule>
    <x:cfRule type="expression" dxfId="4" priority="2">
      <x:formula>D5="dMIC60-CS"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812c7dd5354b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3" hidden="0" customWidth="1"/>
    <x:col min="5" max="5" width="23" hidden="0" customWidth="1"/>
    <x:col min="6" max="6" width="13" hidden="0" customWidth="1"/>
    <x:col min="7" max="7" width="13" hidden="0" customWidth="1"/>
  </x:cols>
  <x:sheetData>
    <x:row r="1" ht="28" customHeight="1">
      <x:c r="A1" s="4" t="str">
        <x:v>Line and error-bar summaries</x:v>
      </x:c>
    </x:row>
    <x:row r="2" ht="31" customHeight="1">
      <x:c r="A2" s="8" t="str">
        <x:v>Colored line means and between-experiment SD values used in Figure 4B</x:v>
      </x:c>
    </x:row>
    <x:row r="4" ht="28" customHeight="1">
      <x:c r="A4" s="13" t="str">
        <x:v>Dose (mM)</x:v>
      </x:c>
      <x:c r="B4" s="13" t="str">
        <x:v>Source genotype</x:v>
      </x:c>
      <x:c r="C4" s="13" t="str">
        <x:v>Graph label</x:v>
      </x:c>
      <x:c r="D4" s="13" t="str">
        <x:v>Line mean (%)</x:v>
      </x:c>
      <x:c r="E4" s="13" t="str">
        <x:v>Between-experiment SD</x:v>
      </x:c>
      <x:c r="F4" s="13" t="str">
        <x:v>Biological n</x:v>
      </x:c>
      <x:c r="G4" s="13" t="str">
        <x:v>Technical n</x:v>
      </x:c>
    </x:row>
    <x:row r="5">
      <x:c r="A5" s="21" t="n">
        <x:v>0</x:v>
      </x:c>
      <x:c r="B5" s="29" t="str">
        <x:v>WT</x:v>
      </x:c>
      <x:c r="C5" s="29" t="str">
        <x:v>dMIC60-WT</x:v>
      </x:c>
      <x:c r="D5" s="22" t="n">
        <x:v>100</x:v>
      </x:c>
      <x:c r="E5" s="22" t="n">
        <x:v>1.4210854715202e-14</x:v>
      </x:c>
      <x:c r="F5" s="21" t="n">
        <x:v>2</x:v>
      </x:c>
      <x:c r="G5" s="21" t="n">
        <x:v>9</x:v>
      </x:c>
    </x:row>
    <x:row r="6">
      <x:c r="A6" s="21" t="n">
        <x:v>5</x:v>
      </x:c>
      <x:c r="B6" s="29" t="str">
        <x:v>WT</x:v>
      </x:c>
      <x:c r="C6" s="29" t="str">
        <x:v>dMIC60-WT</x:v>
      </x:c>
      <x:c r="D6" s="22" t="n">
        <x:v>48.2351093621418</x:v>
      </x:c>
      <x:c r="E6" s="22"/>
      <x:c r="F6" s="21" t="n">
        <x:v>1</x:v>
      </x:c>
      <x:c r="G6" s="21" t="n">
        <x:v>6</x:v>
      </x:c>
    </x:row>
    <x:row r="7">
      <x:c r="A7" s="21" t="n">
        <x:v>10</x:v>
      </x:c>
      <x:c r="B7" s="29" t="str">
        <x:v>WT</x:v>
      </x:c>
      <x:c r="C7" s="29" t="str">
        <x:v>dMIC60-WT</x:v>
      </x:c>
      <x:c r="D7" s="22" t="n">
        <x:v>45.2936241830054</x:v>
      </x:c>
      <x:c r="E7" s="22"/>
      <x:c r="F7" s="21" t="n">
        <x:v>1</x:v>
      </x:c>
      <x:c r="G7" s="21" t="n">
        <x:v>6</x:v>
      </x:c>
    </x:row>
    <x:row r="8">
      <x:c r="A8" s="21" t="n">
        <x:v>20</x:v>
      </x:c>
      <x:c r="B8" s="29" t="str">
        <x:v>WT</x:v>
      </x:c>
      <x:c r="C8" s="29" t="str">
        <x:v>dMIC60-WT</x:v>
      </x:c>
      <x:c r="D8" s="22" t="n">
        <x:v>28.1502849807181</x:v>
      </x:c>
      <x:c r="E8" s="22" t="n">
        <x:v>4.83400426059717</x:v>
      </x:c>
      <x:c r="F8" s="21" t="n">
        <x:v>2</x:v>
      </x:c>
      <x:c r="G8" s="21" t="n">
        <x:v>9</x:v>
      </x:c>
    </x:row>
    <x:row r="9">
      <x:c r="A9" s="21" t="n">
        <x:v>40</x:v>
      </x:c>
      <x:c r="B9" s="29" t="str">
        <x:v>WT</x:v>
      </x:c>
      <x:c r="C9" s="29" t="str">
        <x:v>dMIC60-WT</x:v>
      </x:c>
      <x:c r="D9" s="22" t="n">
        <x:v>13.1743334812259</x:v>
      </x:c>
      <x:c r="E9" s="22" t="n">
        <x:v>6.6957162198203</x:v>
      </x:c>
      <x:c r="F9" s="21" t="n">
        <x:v>2</x:v>
      </x:c>
      <x:c r="G9" s="21" t="n">
        <x:v>9</x:v>
      </x:c>
    </x:row>
    <x:row r="10">
      <x:c r="A10" s="21" t="n">
        <x:v>0</x:v>
      </x:c>
      <x:c r="B10" s="29" t="str">
        <x:v>CS</x:v>
      </x:c>
      <x:c r="C10" s="29" t="str">
        <x:v>dMIC60-CS</x:v>
      </x:c>
      <x:c r="D10" s="22" t="n">
        <x:v>100</x:v>
      </x:c>
      <x:c r="E10" s="22" t="n">
        <x:v>0</x:v>
      </x:c>
      <x:c r="F10" s="21" t="n">
        <x:v>2</x:v>
      </x:c>
      <x:c r="G10" s="21" t="n">
        <x:v>9</x:v>
      </x:c>
    </x:row>
    <x:row r="11">
      <x:c r="A11" s="21" t="n">
        <x:v>5</x:v>
      </x:c>
      <x:c r="B11" s="29" t="str">
        <x:v>CS</x:v>
      </x:c>
      <x:c r="C11" s="29" t="str">
        <x:v>dMIC60-CS</x:v>
      </x:c>
      <x:c r="D11" s="22" t="n">
        <x:v>61.8951959248253</x:v>
      </x:c>
      <x:c r="E11" s="22"/>
      <x:c r="F11" s="21" t="n">
        <x:v>1</x:v>
      </x:c>
      <x:c r="G11" s="21" t="n">
        <x:v>6</x:v>
      </x:c>
    </x:row>
    <x:row r="12">
      <x:c r="A12" s="21" t="n">
        <x:v>10</x:v>
      </x:c>
      <x:c r="B12" s="29" t="str">
        <x:v>CS</x:v>
      </x:c>
      <x:c r="C12" s="29" t="str">
        <x:v>dMIC60-CS</x:v>
      </x:c>
      <x:c r="D12" s="22" t="n">
        <x:v>59.4185849663046</x:v>
      </x:c>
      <x:c r="E12" s="22"/>
      <x:c r="F12" s="21" t="n">
        <x:v>1</x:v>
      </x:c>
      <x:c r="G12" s="21" t="n">
        <x:v>6</x:v>
      </x:c>
    </x:row>
    <x:row r="13">
      <x:c r="A13" s="21" t="n">
        <x:v>20</x:v>
      </x:c>
      <x:c r="B13" s="29" t="str">
        <x:v>CS</x:v>
      </x:c>
      <x:c r="C13" s="29" t="str">
        <x:v>dMIC60-CS</x:v>
      </x:c>
      <x:c r="D13" s="22" t="n">
        <x:v>43.0545678764034</x:v>
      </x:c>
      <x:c r="E13" s="22" t="n">
        <x:v>0.21593197383811</x:v>
      </x:c>
      <x:c r="F13" s="21" t="n">
        <x:v>2</x:v>
      </x:c>
      <x:c r="G13" s="21" t="n">
        <x:v>9</x:v>
      </x:c>
    </x:row>
    <x:row r="14">
      <x:c r="A14" s="31" t="n">
        <x:v>40</x:v>
      </x:c>
      <x:c r="B14" s="30" t="str">
        <x:v>CS</x:v>
      </x:c>
      <x:c r="C14" s="30" t="str">
        <x:v>dMIC60-CS</x:v>
      </x:c>
      <x:c r="D14" s="32" t="n">
        <x:v>19.0506560948277</x:v>
      </x:c>
      <x:c r="E14" s="32" t="n">
        <x:v>7.94083154339414</x:v>
      </x:c>
      <x:c r="F14" s="31" t="n">
        <x:v>2</x:v>
      </x:c>
      <x:c r="G14" s="31" t="n">
        <x:v>9</x:v>
      </x:c>
    </x:row>
  </x:sheetData>
  <x:mergeCells>
    <x:mergeCell ref="A1:G1"/>
    <x:mergeCell ref="A2:G2"/>
  </x:mergeCells>
  <x:conditionalFormatting sqref="E5:E14">
    <x:cfRule type="expression" dxfId="0" priority="1">
      <x:formula>ISBLANK(E5)</x:formula>
    </x:cfRule>
  </x:conditionalFormatting>
  <x:conditionalFormatting sqref="C5:C14">
    <x:cfRule type="expression" dxfId="5" priority="2">
      <x:formula>C5="dMIC60-WT"</x:formula>
    </x:cfRule>
    <x:cfRule type="expression" dxfId="6" priority="3">
      <x:formula>C5="dMIC60-CS"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6f43ecabb74e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5" hidden="0" customWidth="1"/>
    <x:col min="4" max="4" width="17" hidden="0" customWidth="1"/>
    <x:col min="5" max="5" width="8" hidden="0" customWidth="1"/>
    <x:col min="6" max="6" width="16" hidden="0" customWidth="1"/>
    <x:col min="7" max="7" width="14" hidden="0" customWidth="1"/>
    <x:col min="8" max="8" width="19" hidden="0" customWidth="1"/>
    <x:col min="9" max="9" width="23" hidden="0" customWidth="1"/>
    <x:col min="10" max="10" width="25" hidden="0" customWidth="1"/>
    <x:col min="11" max="11" width="20" hidden="0" customWidth="1"/>
    <x:col min="12" max="12" width="13" hidden="0" customWidth="1"/>
    <x:col min="13" max="13" width="13" hidden="0" customWidth="1"/>
    <x:col min="14" max="14" width="19" hidden="0" customWidth="1"/>
    <x:col min="17" max="17" width="14" hidden="0" customWidth="1"/>
    <x:col min="18" max="18" width="2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35" t="str">
        <x:v>Figure 4B MTT — raw data and calculation trail</x:v>
      </x:c>
    </x:row>
    <x:row r="2" ht="28" customHeight="1">
      <x:c r="A2" s="39" t="str">
        <x:v>Each row traces one technical well from raw absorbance through blank correction and normalization to the exact value plotted.</x:v>
      </x:c>
    </x:row>
    <x:row r="3">
      <x:c r="Q3" s="64" t="str">
        <x:v>Experiment</x:v>
      </x:c>
      <x:c r="R3" s="65" t="str">
        <x:v>Blank well 1</x:v>
      </x:c>
      <x:c r="S3" s="65" t="str">
        <x:v>Blank well 2</x:v>
      </x:c>
      <x:c r="T3" s="65" t="str">
        <x:v>Blank mean</x:v>
      </x:c>
      <x:c r="U3" s="66" t="str">
        <x:v>Blank well 3</x:v>
      </x:c>
    </x:row>
    <x:row r="4">
      <x:c r="A4" s="96" t="str">
        <x:v>Step</x:v>
      </x:c>
      <x:c r="B4" s="97"/>
      <x:c r="C4" s="97"/>
      <x:c r="D4" s="97" t="str">
        <x:v>Calculation</x:v>
      </x:c>
      <x:c r="E4" s="97"/>
      <x:c r="F4" s="97"/>
      <x:c r="G4" s="97"/>
      <x:c r="H4" s="97"/>
      <x:c r="I4" s="97"/>
      <x:c r="J4" s="97"/>
      <x:c r="K4" s="97"/>
      <x:c r="L4" s="97"/>
      <x:c r="M4" s="97"/>
      <x:c r="N4" s="98"/>
      <x:c r="Q4" s="67" t="str">
        <x:v>7.28.26</x:v>
      </x:c>
      <x:c r="R4" s="68" t="n">
        <x:v>0.10610000044107437</x:v>
      </x:c>
      <x:c r="S4" s="68" t="n">
        <x:v>0.09939999878406525</x:v>
      </x:c>
      <x:c r="T4" s="69" t="n">
        <x:f>AVERAGE(R4:S4,U4)</x:f>
        <x:v>0.10319999853769939</x:v>
      </x:c>
      <x:c r="U4" s="70" t="n">
        <x:v>0.10409999638795853</x:v>
      </x:c>
    </x:row>
    <x:row r="5" ht="24" customHeight="1">
      <x:c r="A5" s="99" t="str">
        <x:v>1. Raw input</x:v>
      </x:c>
      <x:c r="B5" s="100"/>
      <x:c r="C5" s="100"/>
      <x:c r="D5" s="101" t="str">
        <x:v>Raw MTT absorbance measured for each technical well.</x:v>
      </x:c>
      <x:c r="E5" s="101"/>
      <x:c r="F5" s="101"/>
      <x:c r="G5" s="101"/>
      <x:c r="H5" s="101"/>
      <x:c r="I5" s="101"/>
      <x:c r="J5" s="101"/>
      <x:c r="K5" s="101"/>
      <x:c r="L5" s="101"/>
      <x:c r="M5" s="101"/>
      <x:c r="N5" s="102"/>
      <x:c r="Q5" s="71" t="str">
        <x:v>7.15.26</x:v>
      </x:c>
      <x:c r="R5" s="72" t="n">
        <x:v>0.1088000014424324</x:v>
      </x:c>
      <x:c r="S5" s="72" t="n">
        <x:v>0.13410000503063202</x:v>
      </x:c>
      <x:c r="T5" s="73" t="n">
        <x:f>AVERAGE(R5:S5)</x:f>
        <x:v>0.12145000323653221</x:v>
      </x:c>
      <x:c r="U5" s="74"/>
    </x:row>
    <x:row r="6" ht="24" customHeight="1">
      <x:c r="A6" s="99" t="str">
        <x:v>2. Blank correction</x:v>
      </x:c>
      <x:c r="B6" s="100"/>
      <x:c r="C6" s="100"/>
      <x:c r="D6" s="101" t="str">
        <x:v>Corrected absorbance = Raw absorbance − mean blank absorbance for that experiment.</x:v>
      </x:c>
      <x:c r="E6" s="101"/>
      <x:c r="F6" s="101"/>
      <x:c r="G6" s="101"/>
      <x:c r="H6" s="101"/>
      <x:c r="I6" s="101"/>
      <x:c r="J6" s="101"/>
      <x:c r="K6" s="101"/>
      <x:c r="L6" s="101"/>
      <x:c r="M6" s="101"/>
      <x:c r="N6" s="102"/>
    </x:row>
    <x:row r="7" ht="24" customHeight="1">
      <x:c r="A7" s="99" t="str">
        <x:v>3. Matched control</x:v>
      </x:c>
      <x:c r="B7" s="100"/>
      <x:c r="C7" s="100"/>
      <x:c r="D7" s="101" t="str">
        <x:v>Control mean = mean corrected absorbance of the 0 mM wells from the same experiment and genotype.</x:v>
      </x:c>
      <x:c r="E7" s="101"/>
      <x:c r="F7" s="101"/>
      <x:c r="G7" s="101"/>
      <x:c r="H7" s="101"/>
      <x:c r="I7" s="101"/>
      <x:c r="J7" s="101"/>
      <x:c r="K7" s="101"/>
      <x:c r="L7" s="101"/>
      <x:c r="M7" s="101"/>
      <x:c r="N7" s="102"/>
      <x:c r="Q7" s="111" t="str">
        <x:v>Cell color</x:v>
      </x:c>
      <x:c r="R7" s="112" t="str">
        <x:v>Meaning</x:v>
      </x:c>
    </x:row>
    <x:row r="8" ht="24" customHeight="1">
      <x:c r="A8" s="103" t="str">
        <x:v>4. Normalization</x:v>
      </x:c>
      <x:c r="B8" s="104"/>
      <x:c r="C8" s="104"/>
      <x:c r="D8" s="105" t="str">
        <x:v>Normalized viability (%) = Corrected absorbance ÷ matched 0 mM control mean × 100.</x:v>
      </x:c>
      <x:c r="E8" s="105"/>
      <x:c r="F8" s="105"/>
      <x:c r="G8" s="105"/>
      <x:c r="H8" s="105"/>
      <x:c r="I8" s="105"/>
      <x:c r="J8" s="105"/>
      <x:c r="K8" s="105"/>
      <x:c r="L8" s="105"/>
      <x:c r="M8" s="105"/>
      <x:c r="N8" s="106"/>
      <x:c r="Q8" s="113" t="str">
        <x:v>Yellow</x:v>
      </x:c>
      <x:c r="R8" s="55" t="str">
        <x:v>Original measured input</x:v>
      </x:c>
    </x:row>
    <x:row r="9">
      <x:c r="Q9" s="114" t="str">
        <x:v>Light blue</x:v>
      </x:c>
      <x:c r="R9" s="55" t="str">
        <x:v>Excel formula/calculation</x:v>
      </x:c>
    </x:row>
    <x:row r="10">
      <x:c r="Q10" s="115" t="str">
        <x:v>Green</x:v>
      </x:c>
      <x:c r="R10" s="55" t="str">
        <x:v>Exact value used in plot</x:v>
      </x:c>
    </x:row>
    <x:row r="11" ht="42" customHeight="1">
      <x:c r="A11" s="75" t="str">
        <x:v>Experiment</x:v>
      </x:c>
      <x:c r="B11" s="75" t="str">
        <x:v>Dose (mM)</x:v>
      </x:c>
      <x:c r="C11" s="75" t="str">
        <x:v>Source genotype</x:v>
      </x:c>
      <x:c r="D11" s="75" t="str">
        <x:v>Graph label</x:v>
      </x:c>
      <x:c r="E11" s="75" t="str">
        <x:v>Well</x:v>
      </x:c>
      <x:c r="F11" s="75" t="str">
        <x:v>Raw absorbance</x:v>
      </x:c>
      <x:c r="G11" s="75" t="str">
        <x:v>Blank mean</x:v>
      </x:c>
      <x:c r="H11" s="75" t="str">
        <x:v>Corrected absorbance</x:v>
      </x:c>
      <x:c r="I11" s="75" t="str">
        <x:v>Matched 0 mM control mean</x:v>
      </x:c>
      <x:c r="J11" s="75" t="str">
        <x:v>Calculated normalized viability (%)</x:v>
      </x:c>
      <x:c r="K11" s="75" t="str">
        <x:v>Exact plotted value (%)</x:v>
      </x:c>
      <x:c r="L11" s="75" t="str">
        <x:v>Difference</x:v>
      </x:c>
      <x:c r="M11" s="75" t="str">
        <x:v>Verification</x:v>
      </x:c>
      <x:c r="N11" s="75" t="str">
        <x:v>Raw source cell</x:v>
      </x:c>
      <x:c r="Q11" s="116" t="str">
        <x:v>Gray</x:v>
      </x:c>
      <x:c r="R11" s="59" t="str">
        <x:v>Verification result</x:v>
      </x:c>
    </x:row>
    <x:row r="12" ht="18" customHeight="1">
      <x:c r="A12" s="78" t="str">
        <x:v>7.28.26</x:v>
      </x:c>
      <x:c r="B12" s="79" t="n">
        <x:v>0</x:v>
      </x:c>
      <x:c r="C12" s="78" t="str">
        <x:v>WT</x:v>
      </x:c>
      <x:c r="D12" s="78" t="str">
        <x:v>dMIC60-WT</x:v>
      </x:c>
      <x:c r="E12" s="79" t="n">
        <x:v>1</x:v>
      </x:c>
      <x:c r="F12" s="68" t="n">
        <x:v>0.7161999940872192</x:v>
      </x:c>
      <x:c r="G12" s="69" t="n">
        <x:f>$T$4</x:f>
        <x:v>0.10319999853769939</x:v>
      </x:c>
      <x:c r="H12" s="69" t="n">
        <x:f>F12-G12</x:f>
        <x:v>0.6129999955495199</x:v>
      </x:c>
      <x:c r="I12" s="69" t="n">
        <x:f>AVERAGEIFS($H$12:$H$89,$A$12:$A$89,A12,$C$12:$C$89,C12,$B$12:$B$89,0)</x:f>
        <x:v>0.6345999936262767</x:v>
      </x:c>
      <x:c r="J12" s="69" t="n">
        <x:f>100*H12/I12</x:f>
        <x:v>96.59628139084455</x:v>
      </x:c>
      <x:c r="K12" s="80" t="n">
        <x:f>'Individual datapoints'!F5</x:f>
        <x:v>96.59628139084458</x:v>
      </x:c>
      <x:c r="L12" s="81" t="n">
        <x:f>J12-K12</x:f>
        <x:v>-2.842170943040401e-14</x:v>
      </x:c>
      <x:c r="M12" s="82" t="str">
        <x:f>IF(ABS(L12)&lt;0.000001,"MATCH","CHECK")</x:f>
        <x:v>MATCH</x:v>
      </x:c>
      <x:c r="N12" s="78" t="str">
        <x:v>7.28.26 raw!D29</x:v>
      </x:c>
    </x:row>
    <x:row r="13" ht="18" customHeight="1">
      <x:c r="A13" s="78" t="str">
        <x:v>7.28.26</x:v>
      </x:c>
      <x:c r="B13" s="79" t="n">
        <x:v>0</x:v>
      </x:c>
      <x:c r="C13" s="78" t="str">
        <x:v>WT</x:v>
      </x:c>
      <x:c r="D13" s="78" t="str">
        <x:v>dMIC60-WT</x:v>
      </x:c>
      <x:c r="E13" s="79" t="n">
        <x:v>2</x:v>
      </x:c>
      <x:c r="F13" s="68" t="n">
        <x:v>0.7838000059127808</x:v>
      </x:c>
      <x:c r="G13" s="69" t="n">
        <x:f>$T$4</x:f>
        <x:v>0.10319999853769939</x:v>
      </x:c>
      <x:c r="H13" s="69" t="n">
        <x:f>F13-G13</x:f>
        <x:v>0.6806000073750814</x:v>
      </x:c>
      <x:c r="I13" s="69" t="n">
        <x:f>AVERAGEIFS($H$12:$H$89,$A$12:$A$89,A13,$C$12:$C$89,C13,$B$12:$B$89,0)</x:f>
        <x:v>0.6345999936262767</x:v>
      </x:c>
      <x:c r="J13" s="69" t="n">
        <x:f>100*H13/I13</x:f>
        <x:v>107.2486628129238</x:v>
      </x:c>
      <x:c r="K13" s="80" t="n">
        <x:f>'Individual datapoints'!F6</x:f>
        <x:v>107.24866281292383</x:v>
      </x:c>
      <x:c r="L13" s="81" t="n">
        <x:f>J13-K13</x:f>
        <x:v>-2.842170943040401e-14</x:v>
      </x:c>
      <x:c r="M13" s="82" t="str">
        <x:f>IF(ABS(L13)&lt;0.000001,"MATCH","CHECK")</x:f>
        <x:v>MATCH</x:v>
      </x:c>
      <x:c r="N13" s="78" t="str">
        <x:v>7.28.26 raw!D30</x:v>
      </x:c>
    </x:row>
    <x:row r="14" ht="18" customHeight="1">
      <x:c r="A14" s="78" t="str">
        <x:v>7.28.26</x:v>
      </x:c>
      <x:c r="B14" s="79" t="n">
        <x:v>0</x:v>
      </x:c>
      <x:c r="C14" s="78" t="str">
        <x:v>WT</x:v>
      </x:c>
      <x:c r="D14" s="78" t="str">
        <x:v>dMIC60-WT</x:v>
      </x:c>
      <x:c r="E14" s="79" t="n">
        <x:v>3</x:v>
      </x:c>
      <x:c r="F14" s="68" t="n">
        <x:v>0.7573999762535095</x:v>
      </x:c>
      <x:c r="G14" s="69" t="n">
        <x:f>$T$4</x:f>
        <x:v>0.10319999853769939</x:v>
      </x:c>
      <x:c r="H14" s="69" t="n">
        <x:f>F14-G14</x:f>
        <x:v>0.6541999777158102</x:v>
      </x:c>
      <x:c r="I14" s="69" t="n">
        <x:f>AVERAGEIFS($H$12:$H$89,$A$12:$A$89,A14,$C$12:$C$89,C14,$B$12:$B$89,0)</x:f>
        <x:v>0.6345999936262767</x:v>
      </x:c>
      <x:c r="J14" s="69" t="n">
        <x:f>100*H14/I14</x:f>
        <x:v>103.08855724651585</x:v>
      </x:c>
      <x:c r="K14" s="80" t="n">
        <x:f>'Individual datapoints'!F7</x:f>
        <x:v>103.08855724651586</x:v>
      </x:c>
      <x:c r="L14" s="81" t="n">
        <x:f>J14-K14</x:f>
        <x:v>-1.4210854715202004e-14</x:v>
      </x:c>
      <x:c r="M14" s="82" t="str">
        <x:f>IF(ABS(L14)&lt;0.000001,"MATCH","CHECK")</x:f>
        <x:v>MATCH</x:v>
      </x:c>
      <x:c r="N14" s="78" t="str">
        <x:v>7.28.26 raw!D31</x:v>
      </x:c>
    </x:row>
    <x:row r="15" ht="18" customHeight="1">
      <x:c r="A15" s="78" t="str">
        <x:v>7.28.26</x:v>
      </x:c>
      <x:c r="B15" s="79" t="n">
        <x:v>0</x:v>
      </x:c>
      <x:c r="C15" s="78" t="str">
        <x:v>WT</x:v>
      </x:c>
      <x:c r="D15" s="78" t="str">
        <x:v>dMIC60-WT</x:v>
      </x:c>
      <x:c r="E15" s="79" t="n">
        <x:v>4</x:v>
      </x:c>
      <x:c r="F15" s="68" t="n">
        <x:v>0.6875</x:v>
      </x:c>
      <x:c r="G15" s="69" t="n">
        <x:f>$T$4</x:f>
        <x:v>0.10319999853769939</x:v>
      </x:c>
      <x:c r="H15" s="69" t="n">
        <x:f>F15-G15</x:f>
        <x:v>0.5843000014623007</x:v>
      </x:c>
      <x:c r="I15" s="69" t="n">
        <x:f>AVERAGEIFS($H$12:$H$89,$A$12:$A$89,A15,$C$12:$C$89,C15,$B$12:$B$89,0)</x:f>
        <x:v>0.6345999936262767</x:v>
      </x:c>
      <x:c r="J15" s="69" t="n">
        <x:f>100*H15/I15</x:f>
        <x:v>92.07374839754594</x:v>
      </x:c>
      <x:c r="K15" s="80" t="n">
        <x:f>'Individual datapoints'!F8</x:f>
        <x:v>92.07374839754596</x:v>
      </x:c>
      <x:c r="L15" s="81" t="n">
        <x:f>J15-K15</x:f>
        <x:v>-1.4210854715202004e-14</x:v>
      </x:c>
      <x:c r="M15" s="82" t="str">
        <x:f>IF(ABS(L15)&lt;0.000001,"MATCH","CHECK")</x:f>
        <x:v>MATCH</x:v>
      </x:c>
      <x:c r="N15" s="78" t="str">
        <x:v>7.28.26 raw!D32</x:v>
      </x:c>
    </x:row>
    <x:row r="16" ht="18" customHeight="1">
      <x:c r="A16" s="78" t="str">
        <x:v>7.28.26</x:v>
      </x:c>
      <x:c r="B16" s="79" t="n">
        <x:v>0</x:v>
      </x:c>
      <x:c r="C16" s="78" t="str">
        <x:v>WT</x:v>
      </x:c>
      <x:c r="D16" s="78" t="str">
        <x:v>dMIC60-WT</x:v>
      </x:c>
      <x:c r="E16" s="79" t="n">
        <x:v>5</x:v>
      </x:c>
      <x:c r="F16" s="68" t="n">
        <x:v>0.7465999722480774</x:v>
      </x:c>
      <x:c r="G16" s="69" t="n">
        <x:f>$T$4</x:f>
        <x:v>0.10319999853769939</x:v>
      </x:c>
      <x:c r="H16" s="69" t="n">
        <x:f>F16-G16</x:f>
        <x:v>0.643399973710378</x:v>
      </x:c>
      <x:c r="I16" s="69" t="n">
        <x:f>AVERAGEIFS($H$12:$H$89,$A$12:$A$89,A16,$C$12:$C$89,C16,$B$12:$B$89,0)</x:f>
        <x:v>0.6345999936262767</x:v>
      </x:c>
      <x:c r="J16" s="69" t="n">
        <x:f>100*H16/I16</x:f>
        <x:v>101.3866971592319</x:v>
      </x:c>
      <x:c r="K16" s="80" t="n">
        <x:f>'Individual datapoints'!F9</x:f>
        <x:v>101.3866971592319</x:v>
      </x:c>
      <x:c r="L16" s="81" t="n">
        <x:f>J16-K16</x:f>
        <x:v>0</x:v>
      </x:c>
      <x:c r="M16" s="82" t="str">
        <x:f>IF(ABS(L16)&lt;0.000001,"MATCH","CHECK")</x:f>
        <x:v>MATCH</x:v>
      </x:c>
      <x:c r="N16" s="78" t="str">
        <x:v>7.28.26 raw!D33</x:v>
      </x:c>
    </x:row>
    <x:row r="17" ht="18" customHeight="1">
      <x:c r="A17" s="78" t="str">
        <x:v>7.28.26</x:v>
      </x:c>
      <x:c r="B17" s="79" t="n">
        <x:v>0</x:v>
      </x:c>
      <x:c r="C17" s="78" t="str">
        <x:v>WT</x:v>
      </x:c>
      <x:c r="D17" s="78" t="str">
        <x:v>dMIC60-WT</x:v>
      </x:c>
      <x:c r="E17" s="79" t="n">
        <x:v>6</x:v>
      </x:c>
      <x:c r="F17" s="68" t="n">
        <x:v>0.7353000044822693</x:v>
      </x:c>
      <x:c r="G17" s="69" t="n">
        <x:f>$T$4</x:f>
        <x:v>0.10319999853769939</x:v>
      </x:c>
      <x:c r="H17" s="69" t="n">
        <x:f>F17-G17</x:f>
        <x:v>0.6321000059445699</x:v>
      </x:c>
      <x:c r="I17" s="69" t="n">
        <x:f>AVERAGEIFS($H$12:$H$89,$A$12:$A$89,A17,$C$12:$C$89,C17,$B$12:$B$89,0)</x:f>
        <x:v>0.6345999936262767</x:v>
      </x:c>
      <x:c r="J17" s="69" t="n">
        <x:f>100*H17/I17</x:f>
        <x:v>99.60605299293793</x:v>
      </x:c>
      <x:c r="K17" s="80" t="n">
        <x:f>'Individual datapoints'!F10</x:f>
        <x:v>99.60605299293796</x:v>
      </x:c>
      <x:c r="L17" s="81" t="n">
        <x:f>J17-K17</x:f>
        <x:v>-2.842170943040401e-14</x:v>
      </x:c>
      <x:c r="M17" s="82" t="str">
        <x:f>IF(ABS(L17)&lt;0.000001,"MATCH","CHECK")</x:f>
        <x:v>MATCH</x:v>
      </x:c>
      <x:c r="N17" s="78" t="str">
        <x:v>7.28.26 raw!D34</x:v>
      </x:c>
    </x:row>
    <x:row r="18" ht="18" customHeight="1">
      <x:c r="A18" s="78" t="str">
        <x:v>7.28.26</x:v>
      </x:c>
      <x:c r="B18" s="79" t="n">
        <x:v>0</x:v>
      </x:c>
      <x:c r="C18" s="78" t="str">
        <x:v>CS</x:v>
      </x:c>
      <x:c r="D18" s="78" t="str">
        <x:v>dMIC60-CS</x:v>
      </x:c>
      <x:c r="E18" s="79" t="n">
        <x:v>1</x:v>
      </x:c>
      <x:c r="F18" s="68" t="n">
        <x:v>0.6486999988555908</x:v>
      </x:c>
      <x:c r="G18" s="69" t="n">
        <x:f>$T$4</x:f>
        <x:v>0.10319999853769939</x:v>
      </x:c>
      <x:c r="H18" s="69" t="n">
        <x:f>F18-G18</x:f>
        <x:v>0.5455000003178915</x:v>
      </x:c>
      <x:c r="I18" s="69" t="n">
        <x:f>AVERAGEIFS($H$12:$H$89,$A$12:$A$89,A18,$C$12:$C$89,C18,$B$12:$B$89,0)</x:f>
        <x:v>0.5807666679223379</x:v>
      </x:c>
      <x:c r="J18" s="69" t="n">
        <x:f>100*H18/I18</x:f>
        <x:v>93.9275668607823</x:v>
      </x:c>
      <x:c r="K18" s="80" t="n">
        <x:f>'Individual datapoints'!F11</x:f>
        <x:v>93.9275668607823</x:v>
      </x:c>
      <x:c r="L18" s="81" t="n">
        <x:f>J18-K18</x:f>
        <x:v>0</x:v>
      </x:c>
      <x:c r="M18" s="82" t="str">
        <x:f>IF(ABS(L18)&lt;0.000001,"MATCH","CHECK")</x:f>
        <x:v>MATCH</x:v>
      </x:c>
      <x:c r="N18" s="78" t="str">
        <x:v>7.28.26 raw!E29</x:v>
      </x:c>
    </x:row>
    <x:row r="19" ht="18" customHeight="1">
      <x:c r="A19" s="78" t="str">
        <x:v>7.28.26</x:v>
      </x:c>
      <x:c r="B19" s="79" t="n">
        <x:v>0</x:v>
      </x:c>
      <x:c r="C19" s="78" t="str">
        <x:v>CS</x:v>
      </x:c>
      <x:c r="D19" s="78" t="str">
        <x:v>dMIC60-CS</x:v>
      </x:c>
      <x:c r="E19" s="79" t="n">
        <x:v>2</x:v>
      </x:c>
      <x:c r="F19" s="68" t="n">
        <x:v>0.6729999780654907</x:v>
      </x:c>
      <x:c r="G19" s="69" t="n">
        <x:f>$T$4</x:f>
        <x:v>0.10319999853769939</x:v>
      </x:c>
      <x:c r="H19" s="69" t="n">
        <x:f>F19-G19</x:f>
        <x:v>0.5697999795277914</x:v>
      </x:c>
      <x:c r="I19" s="69" t="n">
        <x:f>AVERAGEIFS($H$12:$H$89,$A$12:$A$89,A19,$C$12:$C$89,C19,$B$12:$B$89,0)</x:f>
        <x:v>0.5807666679223379</x:v>
      </x:c>
      <x:c r="J19" s="69" t="n">
        <x:f>100*H19/I19</x:f>
        <x:v>98.11168770518816</x:v>
      </x:c>
      <x:c r="K19" s="80" t="n">
        <x:f>'Individual datapoints'!F12</x:f>
        <x:v>98.11168770518816</x:v>
      </x:c>
      <x:c r="L19" s="81" t="n">
        <x:f>J19-K19</x:f>
        <x:v>0</x:v>
      </x:c>
      <x:c r="M19" s="82" t="str">
        <x:f>IF(ABS(L19)&lt;0.000001,"MATCH","CHECK")</x:f>
        <x:v>MATCH</x:v>
      </x:c>
      <x:c r="N19" s="78" t="str">
        <x:v>7.28.26 raw!E30</x:v>
      </x:c>
    </x:row>
    <x:row r="20" ht="18" customHeight="1">
      <x:c r="A20" s="78" t="str">
        <x:v>7.28.26</x:v>
      </x:c>
      <x:c r="B20" s="79" t="n">
        <x:v>0</x:v>
      </x:c>
      <x:c r="C20" s="78" t="str">
        <x:v>CS</x:v>
      </x:c>
      <x:c r="D20" s="78" t="str">
        <x:v>dMIC60-CS</x:v>
      </x:c>
      <x:c r="E20" s="79" t="n">
        <x:v>3</x:v>
      </x:c>
      <x:c r="F20" s="68" t="n">
        <x:v>0.6890000104904175</x:v>
      </x:c>
      <x:c r="G20" s="69" t="n">
        <x:f>$T$4</x:f>
        <x:v>0.10319999853769939</x:v>
      </x:c>
      <x:c r="H20" s="69" t="n">
        <x:f>F20-G20</x:f>
        <x:v>0.5858000119527181</x:v>
      </x:c>
      <x:c r="I20" s="69" t="n">
        <x:f>AVERAGEIFS($H$12:$H$89,$A$12:$A$89,A20,$C$12:$C$89,C20,$B$12:$B$89,0)</x:f>
        <x:v>0.5807666679223379</x:v>
      </x:c>
      <x:c r="J20" s="69" t="n">
        <x:f>100*H20/I20</x:f>
        <x:v>100.86667233303639</x:v>
      </x:c>
      <x:c r="K20" s="80" t="n">
        <x:f>'Individual datapoints'!F13</x:f>
        <x:v>100.86667233303639</x:v>
      </x:c>
      <x:c r="L20" s="81" t="n">
        <x:f>J20-K20</x:f>
        <x:v>0</x:v>
      </x:c>
      <x:c r="M20" s="82" t="str">
        <x:f>IF(ABS(L20)&lt;0.000001,"MATCH","CHECK")</x:f>
        <x:v>MATCH</x:v>
      </x:c>
      <x:c r="N20" s="78" t="str">
        <x:v>7.28.26 raw!E31</x:v>
      </x:c>
    </x:row>
    <x:row r="21" ht="18" customHeight="1">
      <x:c r="A21" s="78" t="str">
        <x:v>7.28.26</x:v>
      </x:c>
      <x:c r="B21" s="79" t="n">
        <x:v>0</x:v>
      </x:c>
      <x:c r="C21" s="78" t="str">
        <x:v>CS</x:v>
      </x:c>
      <x:c r="D21" s="78" t="str">
        <x:v>dMIC60-CS</x:v>
      </x:c>
      <x:c r="E21" s="79" t="n">
        <x:v>4</x:v>
      </x:c>
      <x:c r="F21" s="68" t="n">
        <x:v>0.6704000234603882</x:v>
      </x:c>
      <x:c r="G21" s="69" t="n">
        <x:f>$T$4</x:f>
        <x:v>0.10319999853769939</x:v>
      </x:c>
      <x:c r="H21" s="69" t="n">
        <x:f>F21-G21</x:f>
        <x:v>0.5672000249226888</x:v>
      </x:c>
      <x:c r="I21" s="69" t="n">
        <x:f>AVERAGEIFS($H$12:$H$89,$A$12:$A$89,A21,$C$12:$C$89,C21,$B$12:$B$89,0)</x:f>
        <x:v>0.5807666679223379</x:v>
      </x:c>
      <x:c r="J21" s="69" t="n">
        <x:f>100*H21/I21</x:f>
        <x:v>97.66401142679503</x:v>
      </x:c>
      <x:c r="K21" s="80" t="n">
        <x:f>'Individual datapoints'!F14</x:f>
        <x:v>97.66401142679504</x:v>
      </x:c>
      <x:c r="L21" s="81" t="n">
        <x:f>J21-K21</x:f>
        <x:v>-1.4210854715202004e-14</x:v>
      </x:c>
      <x:c r="M21" s="82" t="str">
        <x:f>IF(ABS(L21)&lt;0.000001,"MATCH","CHECK")</x:f>
        <x:v>MATCH</x:v>
      </x:c>
      <x:c r="N21" s="78" t="str">
        <x:v>7.28.26 raw!E32</x:v>
      </x:c>
    </x:row>
    <x:row r="22" ht="18" customHeight="1">
      <x:c r="A22" s="78" t="str">
        <x:v>7.28.26</x:v>
      </x:c>
      <x:c r="B22" s="79" t="n">
        <x:v>0</x:v>
      </x:c>
      <x:c r="C22" s="78" t="str">
        <x:v>CS</x:v>
      </x:c>
      <x:c r="D22" s="78" t="str">
        <x:v>dMIC60-CS</x:v>
      </x:c>
      <x:c r="E22" s="79" t="n">
        <x:v>5</x:v>
      </x:c>
      <x:c r="F22" s="68" t="n">
        <x:v>0.7365999817848206</x:v>
      </x:c>
      <x:c r="G22" s="69" t="n">
        <x:f>$T$4</x:f>
        <x:v>0.10319999853769939</x:v>
      </x:c>
      <x:c r="H22" s="69" t="n">
        <x:f>F22-G22</x:f>
        <x:v>0.6333999832471212</x:v>
      </x:c>
      <x:c r="I22" s="69" t="n">
        <x:f>AVERAGEIFS($H$12:$H$89,$A$12:$A$89,A22,$C$12:$C$89,C22,$B$12:$B$89,0)</x:f>
        <x:v>0.5807666679223379</x:v>
      </x:c>
      <x:c r="J22" s="69" t="n">
        <x:f>100*H22/I22</x:f>
        <x:v>109.06273004838178</x:v>
      </x:c>
      <x:c r="K22" s="80" t="n">
        <x:f>'Individual datapoints'!F15</x:f>
        <x:v>109.06273004838178</x:v>
      </x:c>
      <x:c r="L22" s="81" t="n">
        <x:f>J22-K22</x:f>
        <x:v>0</x:v>
      </x:c>
      <x:c r="M22" s="82" t="str">
        <x:f>IF(ABS(L22)&lt;0.000001,"MATCH","CHECK")</x:f>
        <x:v>MATCH</x:v>
      </x:c>
      <x:c r="N22" s="78" t="str">
        <x:v>7.28.26 raw!E33</x:v>
      </x:c>
    </x:row>
    <x:row r="23" ht="18" customHeight="1">
      <x:c r="A23" s="78" t="str">
        <x:v>7.28.26</x:v>
      </x:c>
      <x:c r="B23" s="79" t="n">
        <x:v>0</x:v>
      </x:c>
      <x:c r="C23" s="78" t="str">
        <x:v>CS</x:v>
      </x:c>
      <x:c r="D23" s="78" t="str">
        <x:v>dMIC60-CS</x:v>
      </x:c>
      <x:c r="E23" s="79" t="n">
        <x:v>6</x:v>
      </x:c>
      <x:c r="F23" s="68" t="n">
        <x:v>0.6861000061035156</x:v>
      </x:c>
      <x:c r="G23" s="69" t="n">
        <x:f>$T$4</x:f>
        <x:v>0.10319999853769939</x:v>
      </x:c>
      <x:c r="H23" s="69" t="n">
        <x:f>F23-G23</x:f>
        <x:v>0.5829000075658163</x:v>
      </x:c>
      <x:c r="I23" s="69" t="n">
        <x:f>AVERAGEIFS($H$12:$H$89,$A$12:$A$89,A23,$C$12:$C$89,C23,$B$12:$B$89,0)</x:f>
        <x:v>0.5807666679223379</x:v>
      </x:c>
      <x:c r="J23" s="69" t="n">
        <x:f>100*H23/I23</x:f>
        <x:v>100.36733162581632</x:v>
      </x:c>
      <x:c r="K23" s="80" t="n">
        <x:f>'Individual datapoints'!F16</x:f>
        <x:v>100.36733162581632</x:v>
      </x:c>
      <x:c r="L23" s="81" t="n">
        <x:f>J23-K23</x:f>
        <x:v>0</x:v>
      </x:c>
      <x:c r="M23" s="82" t="str">
        <x:f>IF(ABS(L23)&lt;0.000001,"MATCH","CHECK")</x:f>
        <x:v>MATCH</x:v>
      </x:c>
      <x:c r="N23" s="78" t="str">
        <x:v>7.28.26 raw!E34</x:v>
      </x:c>
    </x:row>
    <x:row r="24" ht="18" customHeight="1">
      <x:c r="A24" s="78" t="str">
        <x:v>7.28.26</x:v>
      </x:c>
      <x:c r="B24" s="79" t="n">
        <x:v>5</x:v>
      </x:c>
      <x:c r="C24" s="78" t="str">
        <x:v>WT</x:v>
      </x:c>
      <x:c r="D24" s="78" t="str">
        <x:v>dMIC60-WT</x:v>
      </x:c>
      <x:c r="E24" s="79" t="n">
        <x:v>1</x:v>
      </x:c>
      <x:c r="F24" s="68" t="n">
        <x:v>0.40799999237060547</x:v>
      </x:c>
      <x:c r="G24" s="69" t="n">
        <x:f>$T$4</x:f>
        <x:v>0.10319999853769939</x:v>
      </x:c>
      <x:c r="H24" s="69" t="n">
        <x:f>F24-G24</x:f>
        <x:v>0.30479999383290607</x:v>
      </x:c>
      <x:c r="I24" s="69" t="n">
        <x:f>AVERAGEIFS($H$12:$H$89,$A$12:$A$89,A24,$C$12:$C$89,C24,$B$12:$B$89,0)</x:f>
        <x:v>0.6345999936262767</x:v>
      </x:c>
      <x:c r="J24" s="69" t="n">
        <x:f>100*H24/I24</x:f>
        <x:v>48.030254789508604</x:v>
      </x:c>
      <x:c r="K24" s="80" t="n">
        <x:f>'Individual datapoints'!F17</x:f>
        <x:v>48.03025478950861</x:v>
      </x:c>
      <x:c r="L24" s="81" t="n">
        <x:f>J24-K24</x:f>
        <x:v>-7.105427357601002e-15</x:v>
      </x:c>
      <x:c r="M24" s="82" t="str">
        <x:f>IF(ABS(L24)&lt;0.000001,"MATCH","CHECK")</x:f>
        <x:v>MATCH</x:v>
      </x:c>
      <x:c r="N24" s="78" t="str">
        <x:v>7.28.26 raw!L29</x:v>
      </x:c>
    </x:row>
    <x:row r="25" ht="18" customHeight="1">
      <x:c r="A25" s="78" t="str">
        <x:v>7.28.26</x:v>
      </x:c>
      <x:c r="B25" s="79" t="n">
        <x:v>5</x:v>
      </x:c>
      <x:c r="C25" s="78" t="str">
        <x:v>WT</x:v>
      </x:c>
      <x:c r="D25" s="78" t="str">
        <x:v>dMIC60-WT</x:v>
      </x:c>
      <x:c r="E25" s="79" t="n">
        <x:v>2</x:v>
      </x:c>
      <x:c r="F25" s="68" t="n">
        <x:v>0.4359999895095825</x:v>
      </x:c>
      <x:c r="G25" s="69" t="n">
        <x:f>$T$4</x:f>
        <x:v>0.10319999853769939</x:v>
      </x:c>
      <x:c r="H25" s="69" t="n">
        <x:f>F25-G25</x:f>
        <x:v>0.3327999909718831</x:v>
      </x:c>
      <x:c r="I25" s="69" t="n">
        <x:f>AVERAGEIFS($H$12:$H$89,$A$12:$A$89,A25,$C$12:$C$89,C25,$B$12:$B$89,0)</x:f>
        <x:v>0.6345999936262767</x:v>
      </x:c>
      <x:c r="J25" s="69" t="n">
        <x:f>100*H25/I25</x:f>
        <x:v>52.442482558213335</x:v>
      </x:c>
      <x:c r="K25" s="80" t="n">
        <x:f>'Individual datapoints'!F18</x:f>
        <x:v>52.44248255821334</x:v>
      </x:c>
      <x:c r="L25" s="81" t="n">
        <x:f>J25-K25</x:f>
        <x:v>-7.105427357601002e-15</x:v>
      </x:c>
      <x:c r="M25" s="82" t="str">
        <x:f>IF(ABS(L25)&lt;0.000001,"MATCH","CHECK")</x:f>
        <x:v>MATCH</x:v>
      </x:c>
      <x:c r="N25" s="78" t="str">
        <x:v>7.28.26 raw!L30</x:v>
      </x:c>
    </x:row>
    <x:row r="26" ht="18" customHeight="1">
      <x:c r="A26" s="78" t="str">
        <x:v>7.28.26</x:v>
      </x:c>
      <x:c r="B26" s="79" t="n">
        <x:v>5</x:v>
      </x:c>
      <x:c r="C26" s="78" t="str">
        <x:v>WT</x:v>
      </x:c>
      <x:c r="D26" s="78" t="str">
        <x:v>dMIC60-WT</x:v>
      </x:c>
      <x:c r="E26" s="79" t="n">
        <x:v>3</x:v>
      </x:c>
      <x:c r="F26" s="68" t="n">
        <x:v>0.4050000011920929</x:v>
      </x:c>
      <x:c r="G26" s="69" t="n">
        <x:f>$T$4</x:f>
        <x:v>0.10319999853769939</x:v>
      </x:c>
      <x:c r="H26" s="69" t="n">
        <x:f>F26-G26</x:f>
        <x:v>0.3018000026543935</x:v>
      </x:c>
      <x:c r="I26" s="69" t="n">
        <x:f>AVERAGEIFS($H$12:$H$89,$A$12:$A$89,A26,$C$12:$C$89,C26,$B$12:$B$89,0)</x:f>
        <x:v>0.6345999936262767</x:v>
      </x:c>
      <x:c r="J26" s="69" t="n">
        <x:f>100*H26/I26</x:f>
        <x:v>47.55751744178664</x:v>
      </x:c>
      <x:c r="K26" s="80" t="n">
        <x:f>'Individual datapoints'!F19</x:f>
        <x:v>47.55751744178666</x:v>
      </x:c>
      <x:c r="L26" s="81" t="n">
        <x:f>J26-K26</x:f>
        <x:v>-1.4210854715202004e-14</x:v>
      </x:c>
      <x:c r="M26" s="82" t="str">
        <x:f>IF(ABS(L26)&lt;0.000001,"MATCH","CHECK")</x:f>
        <x:v>MATCH</x:v>
      </x:c>
      <x:c r="N26" s="78" t="str">
        <x:v>7.28.26 raw!L31</x:v>
      </x:c>
    </x:row>
    <x:row r="27" ht="18" customHeight="1">
      <x:c r="A27" s="78" t="str">
        <x:v>7.28.26</x:v>
      </x:c>
      <x:c r="B27" s="79" t="n">
        <x:v>5</x:v>
      </x:c>
      <x:c r="C27" s="78" t="str">
        <x:v>WT</x:v>
      </x:c>
      <x:c r="D27" s="78" t="str">
        <x:v>dMIC60-WT</x:v>
      </x:c>
      <x:c r="E27" s="79" t="n">
        <x:v>4</x:v>
      </x:c>
      <x:c r="F27" s="68" t="n">
        <x:v>0.34310001134872437</x:v>
      </x:c>
      <x:c r="G27" s="69" t="n">
        <x:f>$T$4</x:f>
        <x:v>0.10319999853769939</x:v>
      </x:c>
      <x:c r="H27" s="69" t="n">
        <x:f>F27-G27</x:f>
        <x:v>0.23990001281102497</x:v>
      </x:c>
      <x:c r="I27" s="69" t="n">
        <x:f>AVERAGEIFS($H$12:$H$89,$A$12:$A$89,A27,$C$12:$C$89,C27,$B$12:$B$89,0)</x:f>
        <x:v>0.6345999936262767</x:v>
      </x:c>
      <x:c r="J27" s="69" t="n">
        <x:f>100*H27/I27</x:f>
        <x:v>37.80334308548778</x:v>
      </x:c>
      <x:c r="K27" s="80" t="n">
        <x:f>'Individual datapoints'!F20</x:f>
        <x:v>37.80334308548778</x:v>
      </x:c>
      <x:c r="L27" s="81" t="n">
        <x:f>J27-K27</x:f>
        <x:v>0</x:v>
      </x:c>
      <x:c r="M27" s="82" t="str">
        <x:f>IF(ABS(L27)&lt;0.000001,"MATCH","CHECK")</x:f>
        <x:v>MATCH</x:v>
      </x:c>
      <x:c r="N27" s="78" t="str">
        <x:v>7.28.26 raw!L32</x:v>
      </x:c>
    </x:row>
    <x:row r="28" ht="18" customHeight="1">
      <x:c r="A28" s="78" t="str">
        <x:v>7.28.26</x:v>
      </x:c>
      <x:c r="B28" s="79" t="n">
        <x:v>5</x:v>
      </x:c>
      <x:c r="C28" s="78" t="str">
        <x:v>WT</x:v>
      </x:c>
      <x:c r="D28" s="78" t="str">
        <x:v>dMIC60-WT</x:v>
      </x:c>
      <x:c r="E28" s="79" t="n">
        <x:v>5</x:v>
      </x:c>
      <x:c r="F28" s="68" t="n">
        <x:v>0.420199990272522</x:v>
      </x:c>
      <x:c r="G28" s="69" t="n">
        <x:f>$T$4</x:f>
        <x:v>0.10319999853769939</x:v>
      </x:c>
      <x:c r="H28" s="69" t="n">
        <x:f>F28-G28</x:f>
        <x:v>0.3169999917348226</x:v>
      </x:c>
      <x:c r="I28" s="69" t="n">
        <x:f>AVERAGEIFS($H$12:$H$89,$A$12:$A$89,A28,$C$12:$C$89,C28,$B$12:$B$89,0)</x:f>
        <x:v>0.6345999936262767</x:v>
      </x:c>
      <x:c r="J28" s="69" t="n">
        <x:f>100*H28/I28</x:f>
        <x:v>49.95272532598031</x:v>
      </x:c>
      <x:c r="K28" s="80" t="n">
        <x:f>'Individual datapoints'!F21</x:f>
        <x:v>49.95272532598032</x:v>
      </x:c>
      <x:c r="L28" s="81" t="n">
        <x:f>J28-K28</x:f>
        <x:v>-7.105427357601002e-15</x:v>
      </x:c>
      <x:c r="M28" s="82" t="str">
        <x:f>IF(ABS(L28)&lt;0.000001,"MATCH","CHECK")</x:f>
        <x:v>MATCH</x:v>
      </x:c>
      <x:c r="N28" s="78" t="str">
        <x:v>7.28.26 raw!L33</x:v>
      </x:c>
    </x:row>
    <x:row r="29" ht="18" customHeight="1">
      <x:c r="A29" s="78" t="str">
        <x:v>7.28.26</x:v>
      </x:c>
      <x:c r="B29" s="79" t="n">
        <x:v>5</x:v>
      </x:c>
      <x:c r="C29" s="78" t="str">
        <x:v>WT</x:v>
      </x:c>
      <x:c r="D29" s="78" t="str">
        <x:v>dMIC60-WT</x:v>
      </x:c>
      <x:c r="E29" s="79" t="n">
        <x:v>6</x:v>
      </x:c>
      <x:c r="F29" s="68" t="n">
        <x:v>0.44350001215934753</x:v>
      </x:c>
      <x:c r="G29" s="69" t="n">
        <x:f>$T$4</x:f>
        <x:v>0.10319999853769939</x:v>
      </x:c>
      <x:c r="H29" s="69" t="n">
        <x:f>F29-G29</x:f>
        <x:v>0.34030001362164813</x:v>
      </x:c>
      <x:c r="I29" s="69" t="n">
        <x:f>AVERAGEIFS($H$12:$H$89,$A$12:$A$89,A29,$C$12:$C$89,C29,$B$12:$B$89,0)</x:f>
        <x:v>0.6345999936262767</x:v>
      </x:c>
      <x:c r="J29" s="69" t="n">
        <x:f>100*H29/I29</x:f>
        <x:v>53.62433297187436</x:v>
      </x:c>
      <x:c r="K29" s="80" t="n">
        <x:f>'Individual datapoints'!F22</x:f>
        <x:v>53.62433297187438</x:v>
      </x:c>
      <x:c r="L29" s="81" t="n">
        <x:f>J29-K29</x:f>
        <x:v>-2.1316282072803006e-14</x:v>
      </x:c>
      <x:c r="M29" s="82" t="str">
        <x:f>IF(ABS(L29)&lt;0.000001,"MATCH","CHECK")</x:f>
        <x:v>MATCH</x:v>
      </x:c>
      <x:c r="N29" s="78" t="str">
        <x:v>7.28.26 raw!L34</x:v>
      </x:c>
    </x:row>
    <x:row r="30" ht="18" customHeight="1">
      <x:c r="A30" s="78" t="str">
        <x:v>7.28.26</x:v>
      </x:c>
      <x:c r="B30" s="79" t="n">
        <x:v>5</x:v>
      </x:c>
      <x:c r="C30" s="78" t="str">
        <x:v>CS</x:v>
      </x:c>
      <x:c r="D30" s="78" t="str">
        <x:v>dMIC60-CS</x:v>
      </x:c>
      <x:c r="E30" s="79" t="n">
        <x:v>1</x:v>
      </x:c>
      <x:c r="F30" s="68" t="n">
        <x:v>0.510699987411499</x:v>
      </x:c>
      <x:c r="G30" s="69" t="n">
        <x:f>$T$4</x:f>
        <x:v>0.10319999853769939</x:v>
      </x:c>
      <x:c r="H30" s="69" t="n">
        <x:f>F30-G30</x:f>
        <x:v>0.4074999888737996</x:v>
      </x:c>
      <x:c r="I30" s="69" t="n">
        <x:f>AVERAGEIFS($H$12:$H$89,$A$12:$A$89,A30,$C$12:$C$89,C30,$B$12:$B$89,0)</x:f>
        <x:v>0.5807666679223379</x:v>
      </x:c>
      <x:c r="J30" s="69" t="n">
        <x:f>100*H30/I30</x:f>
        <x:v>70.16587062952654</x:v>
      </x:c>
      <x:c r="K30" s="80" t="n">
        <x:f>'Individual datapoints'!F23</x:f>
        <x:v>70.16587062952654</x:v>
      </x:c>
      <x:c r="L30" s="81" t="n">
        <x:f>J30-K30</x:f>
        <x:v>0</x:v>
      </x:c>
      <x:c r="M30" s="82" t="str">
        <x:f>IF(ABS(L30)&lt;0.000001,"MATCH","CHECK")</x:f>
        <x:v>MATCH</x:v>
      </x:c>
      <x:c r="N30" s="78" t="str">
        <x:v>7.28.26 raw!M29</x:v>
      </x:c>
    </x:row>
    <x:row r="31" ht="18" customHeight="1">
      <x:c r="A31" s="78" t="str">
        <x:v>7.28.26</x:v>
      </x:c>
      <x:c r="B31" s="79" t="n">
        <x:v>5</x:v>
      </x:c>
      <x:c r="C31" s="78" t="str">
        <x:v>CS</x:v>
      </x:c>
      <x:c r="D31" s="78" t="str">
        <x:v>dMIC60-CS</x:v>
      </x:c>
      <x:c r="E31" s="79" t="n">
        <x:v>2</x:v>
      </x:c>
      <x:c r="F31" s="68" t="n">
        <x:v>0.4909999966621399</x:v>
      </x:c>
      <x:c r="G31" s="69" t="n">
        <x:f>$T$4</x:f>
        <x:v>0.10319999853769939</x:v>
      </x:c>
      <x:c r="H31" s="69" t="n">
        <x:f>F31-G31</x:f>
        <x:v>0.3877999981244405</x:v>
      </x:c>
      <x:c r="I31" s="69" t="n">
        <x:f>AVERAGEIFS($H$12:$H$89,$A$12:$A$89,A31,$C$12:$C$89,C31,$B$12:$B$89,0)</x:f>
        <x:v>0.5807666679223379</x:v>
      </x:c>
      <x:c r="J31" s="69" t="n">
        <x:f>100*H31/I31</x:f>
        <x:v>66.77380427354319</x:v>
      </x:c>
      <x:c r="K31" s="80" t="n">
        <x:f>'Individual datapoints'!F24</x:f>
        <x:v>66.7738042735432</x:v>
      </x:c>
      <x:c r="L31" s="81" t="n">
        <x:f>J31-K31</x:f>
        <x:v>-1.4210854715202004e-14</x:v>
      </x:c>
      <x:c r="M31" s="82" t="str">
        <x:f>IF(ABS(L31)&lt;0.000001,"MATCH","CHECK")</x:f>
        <x:v>MATCH</x:v>
      </x:c>
      <x:c r="N31" s="78" t="str">
        <x:v>7.28.26 raw!M30</x:v>
      </x:c>
    </x:row>
    <x:row r="32" ht="18" customHeight="1">
      <x:c r="A32" s="78" t="str">
        <x:v>7.28.26</x:v>
      </x:c>
      <x:c r="B32" s="79" t="n">
        <x:v>5</x:v>
      </x:c>
      <x:c r="C32" s="78" t="str">
        <x:v>CS</x:v>
      </x:c>
      <x:c r="D32" s="78" t="str">
        <x:v>dMIC60-CS</x:v>
      </x:c>
      <x:c r="E32" s="79" t="n">
        <x:v>3</x:v>
      </x:c>
      <x:c r="F32" s="68" t="n">
        <x:v>0.49559998512268066</x:v>
      </x:c>
      <x:c r="G32" s="69" t="n">
        <x:f>$T$4</x:f>
        <x:v>0.10319999853769939</x:v>
      </x:c>
      <x:c r="H32" s="69" t="n">
        <x:f>F32-G32</x:f>
        <x:v>0.39239998658498126</x:v>
      </x:c>
      <x:c r="I32" s="69" t="n">
        <x:f>AVERAGEIFS($H$12:$H$89,$A$12:$A$89,A32,$C$12:$C$89,C32,$B$12:$B$89,0)</x:f>
        <x:v>0.5807666679223379</x:v>
      </x:c>
      <x:c r="J32" s="69" t="n">
        <x:f>100*H32/I32</x:f>
        <x:v>67.56585876196571</x:v>
      </x:c>
      <x:c r="K32" s="80" t="n">
        <x:f>'Individual datapoints'!F25</x:f>
        <x:v>67.56585876196571</x:v>
      </x:c>
      <x:c r="L32" s="81" t="n">
        <x:f>J32-K32</x:f>
        <x:v>0</x:v>
      </x:c>
      <x:c r="M32" s="82" t="str">
        <x:f>IF(ABS(L32)&lt;0.000001,"MATCH","CHECK")</x:f>
        <x:v>MATCH</x:v>
      </x:c>
      <x:c r="N32" s="78" t="str">
        <x:v>7.28.26 raw!M31</x:v>
      </x:c>
    </x:row>
    <x:row r="33" ht="18" customHeight="1">
      <x:c r="A33" s="78" t="str">
        <x:v>7.28.26</x:v>
      </x:c>
      <x:c r="B33" s="79" t="n">
        <x:v>5</x:v>
      </x:c>
      <x:c r="C33" s="78" t="str">
        <x:v>CS</x:v>
      </x:c>
      <x:c r="D33" s="78" t="str">
        <x:v>dMIC60-CS</x:v>
      </x:c>
      <x:c r="E33" s="79" t="n">
        <x:v>4</x:v>
      </x:c>
      <x:c r="F33" s="68" t="n">
        <x:v>0.41440001130104065</x:v>
      </x:c>
      <x:c r="G33" s="69" t="n">
        <x:f>$T$4</x:f>
        <x:v>0.10319999853769939</x:v>
      </x:c>
      <x:c r="H33" s="69" t="n">
        <x:f>F33-G33</x:f>
        <x:v>0.31120001276334125</x:v>
      </x:c>
      <x:c r="I33" s="69" t="n">
        <x:f>AVERAGEIFS($H$12:$H$89,$A$12:$A$89,A33,$C$12:$C$89,C33,$B$12:$B$89,0)</x:f>
        <x:v>0.5807666679223379</x:v>
      </x:c>
      <x:c r="J33" s="69" t="n">
        <x:f>100*H33/I33</x:f>
        <x:v>53.58434461754544</x:v>
      </x:c>
      <x:c r="K33" s="80" t="n">
        <x:f>'Individual datapoints'!F26</x:f>
        <x:v>53.58434461754544</x:v>
      </x:c>
      <x:c r="L33" s="81" t="n">
        <x:f>J33-K33</x:f>
        <x:v>0</x:v>
      </x:c>
      <x:c r="M33" s="82" t="str">
        <x:f>IF(ABS(L33)&lt;0.000001,"MATCH","CHECK")</x:f>
        <x:v>MATCH</x:v>
      </x:c>
      <x:c r="N33" s="78" t="str">
        <x:v>7.28.26 raw!M32</x:v>
      </x:c>
    </x:row>
    <x:row r="34" ht="18" customHeight="1">
      <x:c r="A34" s="78" t="str">
        <x:v>7.28.26</x:v>
      </x:c>
      <x:c r="B34" s="79" t="n">
        <x:v>5</x:v>
      </x:c>
      <x:c r="C34" s="78" t="str">
        <x:v>CS</x:v>
      </x:c>
      <x:c r="D34" s="78" t="str">
        <x:v>dMIC60-CS</x:v>
      </x:c>
      <x:c r="E34" s="79" t="n">
        <x:v>5</x:v>
      </x:c>
      <x:c r="F34" s="68" t="n">
        <x:v>0.43950000405311584</x:v>
      </x:c>
      <x:c r="G34" s="69" t="n">
        <x:f>$T$4</x:f>
        <x:v>0.10319999853769939</x:v>
      </x:c>
      <x:c r="H34" s="69" t="n">
        <x:f>F34-G34</x:f>
        <x:v>0.33630000551541644</x:v>
      </x:c>
      <x:c r="I34" s="69" t="n">
        <x:f>AVERAGEIFS($H$12:$H$89,$A$12:$A$89,A34,$C$12:$C$89,C34,$B$12:$B$89,0)</x:f>
        <x:v>0.5807666679223379</x:v>
      </x:c>
      <x:c r="J34" s="69" t="n">
        <x:f>100*H34/I34</x:f>
        <x:v>57.90621674596304</x:v>
      </x:c>
      <x:c r="K34" s="80" t="n">
        <x:f>'Individual datapoints'!F27</x:f>
        <x:v>57.90621674596304</x:v>
      </x:c>
      <x:c r="L34" s="81" t="n">
        <x:f>J34-K34</x:f>
        <x:v>0</x:v>
      </x:c>
      <x:c r="M34" s="82" t="str">
        <x:f>IF(ABS(L34)&lt;0.000001,"MATCH","CHECK")</x:f>
        <x:v>MATCH</x:v>
      </x:c>
      <x:c r="N34" s="78" t="str">
        <x:v>7.28.26 raw!M33</x:v>
      </x:c>
    </x:row>
    <x:row r="35" ht="18" customHeight="1">
      <x:c r="A35" s="78" t="str">
        <x:v>7.28.26</x:v>
      </x:c>
      <x:c r="B35" s="79" t="n">
        <x:v>5</x:v>
      </x:c>
      <x:c r="C35" s="78" t="str">
        <x:v>CS</x:v>
      </x:c>
      <x:c r="D35" s="78" t="str">
        <x:v>dMIC60-CS</x:v>
      </x:c>
      <x:c r="E35" s="79" t="n">
        <x:v>6</x:v>
      </x:c>
      <x:c r="F35" s="68" t="n">
        <x:v>0.42480000853538513</x:v>
      </x:c>
      <x:c r="G35" s="69" t="n">
        <x:f>$T$4</x:f>
        <x:v>0.10319999853769939</x:v>
      </x:c>
      <x:c r="H35" s="69" t="n">
        <x:f>F35-G35</x:f>
        <x:v>0.32160000999768573</x:v>
      </x:c>
      <x:c r="I35" s="69" t="n">
        <x:f>AVERAGEIFS($H$12:$H$89,$A$12:$A$89,A35,$C$12:$C$89,C35,$B$12:$B$89,0)</x:f>
        <x:v>0.5807666679223379</x:v>
      </x:c>
      <x:c r="J35" s="69" t="n">
        <x:f>100*H35/I35</x:f>
        <x:v>55.3750805204081</x:v>
      </x:c>
      <x:c r="K35" s="80" t="n">
        <x:f>'Individual datapoints'!F28</x:f>
        <x:v>55.375080520408105</x:v>
      </x:c>
      <x:c r="L35" s="81" t="n">
        <x:f>J35-K35</x:f>
        <x:v>-7.105427357601002e-15</x:v>
      </x:c>
      <x:c r="M35" s="82" t="str">
        <x:f>IF(ABS(L35)&lt;0.000001,"MATCH","CHECK")</x:f>
        <x:v>MATCH</x:v>
      </x:c>
      <x:c r="N35" s="78" t="str">
        <x:v>7.28.26 raw!M34</x:v>
      </x:c>
    </x:row>
    <x:row r="36" ht="18" customHeight="1">
      <x:c r="A36" s="78" t="str">
        <x:v>7.28.26</x:v>
      </x:c>
      <x:c r="B36" s="79" t="n">
        <x:v>10</x:v>
      </x:c>
      <x:c r="C36" s="78" t="str">
        <x:v>WT</x:v>
      </x:c>
      <x:c r="D36" s="78" t="str">
        <x:v>dMIC60-WT</x:v>
      </x:c>
      <x:c r="E36" s="79" t="n">
        <x:v>1</x:v>
      </x:c>
      <x:c r="F36" s="68" t="n">
        <x:v>0.3328999876976013</x:v>
      </x:c>
      <x:c r="G36" s="69" t="n">
        <x:f>$T$4</x:f>
        <x:v>0.10319999853769939</x:v>
      </x:c>
      <x:c r="H36" s="69" t="n">
        <x:f>F36-G36</x:f>
        <x:v>0.22969998915990192</x:v>
      </x:c>
      <x:c r="I36" s="69" t="n">
        <x:f>AVERAGEIFS($H$12:$H$89,$A$12:$A$89,A36,$C$12:$C$89,C36,$B$12:$B$89,0)</x:f>
        <x:v>0.6345999936262767</x:v>
      </x:c>
      <x:c r="J36" s="69" t="n">
        <x:f>100*H36/I36</x:f>
        <x:v>36.19602765000576</x:v>
      </x:c>
      <x:c r="K36" s="80" t="n">
        <x:f>'Individual datapoints'!F29</x:f>
        <x:v>36.19602765000577</x:v>
      </x:c>
      <x:c r="L36" s="81" t="n">
        <x:f>J36-K36</x:f>
        <x:v>-7.105427357601002e-15</x:v>
      </x:c>
      <x:c r="M36" s="82" t="str">
        <x:f>IF(ABS(L36)&lt;0.000001,"MATCH","CHECK")</x:f>
        <x:v>MATCH</x:v>
      </x:c>
      <x:c r="N36" s="78" t="str">
        <x:v>7.28.26 raw!J29</x:v>
      </x:c>
    </x:row>
    <x:row r="37" ht="18" customHeight="1">
      <x:c r="A37" s="78" t="str">
        <x:v>7.28.26</x:v>
      </x:c>
      <x:c r="B37" s="79" t="n">
        <x:v>10</x:v>
      </x:c>
      <x:c r="C37" s="78" t="str">
        <x:v>WT</x:v>
      </x:c>
      <x:c r="D37" s="78" t="str">
        <x:v>dMIC60-WT</x:v>
      </x:c>
      <x:c r="E37" s="79" t="n">
        <x:v>2</x:v>
      </x:c>
      <x:c r="F37" s="68" t="n">
        <x:v>0.4189999997615814</x:v>
      </x:c>
      <x:c r="G37" s="69" t="n">
        <x:f>$T$4</x:f>
        <x:v>0.10319999853769939</x:v>
      </x:c>
      <x:c r="H37" s="69" t="n">
        <x:f>F37-G37</x:f>
        <x:v>0.315800001223882</x:v>
      </x:c>
      <x:c r="I37" s="69" t="n">
        <x:f>AVERAGEIFS($H$12:$H$89,$A$12:$A$89,A37,$C$12:$C$89,C37,$B$12:$B$89,0)</x:f>
        <x:v>0.6345999936262767</x:v>
      </x:c>
      <x:c r="J37" s="69" t="n">
        <x:f>100*H37/I37</x:f>
        <x:v>49.76363132613901</x:v>
      </x:c>
      <x:c r="K37" s="80" t="n">
        <x:f>'Individual datapoints'!F30</x:f>
        <x:v>49.76363132613902</x:v>
      </x:c>
      <x:c r="L37" s="81" t="n">
        <x:f>J37-K37</x:f>
        <x:v>-7.105427357601002e-15</x:v>
      </x:c>
      <x:c r="M37" s="82" t="str">
        <x:f>IF(ABS(L37)&lt;0.000001,"MATCH","CHECK")</x:f>
        <x:v>MATCH</x:v>
      </x:c>
      <x:c r="N37" s="78" t="str">
        <x:v>7.28.26 raw!J30</x:v>
      </x:c>
    </x:row>
    <x:row r="38" ht="18" customHeight="1">
      <x:c r="A38" s="78" t="str">
        <x:v>7.28.26</x:v>
      </x:c>
      <x:c r="B38" s="79" t="n">
        <x:v>10</x:v>
      </x:c>
      <x:c r="C38" s="78" t="str">
        <x:v>WT</x:v>
      </x:c>
      <x:c r="D38" s="78" t="str">
        <x:v>dMIC60-WT</x:v>
      </x:c>
      <x:c r="E38" s="79" t="n">
        <x:v>3</x:v>
      </x:c>
      <x:c r="F38" s="68" t="n">
        <x:v>0.41040000319480896</x:v>
      </x:c>
      <x:c r="G38" s="69" t="n">
        <x:f>$T$4</x:f>
        <x:v>0.10319999853769939</x:v>
      </x:c>
      <x:c r="H38" s="69" t="n">
        <x:f>F38-G38</x:f>
        <x:v>0.30720000465710956</x:v>
      </x:c>
      <x:c r="I38" s="69" t="n">
        <x:f>AVERAGEIFS($H$12:$H$89,$A$12:$A$89,A38,$C$12:$C$89,C38,$B$12:$B$89,0)</x:f>
        <x:v>0.6345999936262767</x:v>
      </x:c>
      <x:c r="J38" s="69" t="n">
        <x:f>100*H38/I38</x:f>
        <x:v>48.408447485428624</x:v>
      </x:c>
      <x:c r="K38" s="80" t="n">
        <x:f>'Individual datapoints'!F31</x:f>
        <x:v>48.40844748542863</x:v>
      </x:c>
      <x:c r="L38" s="81" t="n">
        <x:f>J38-K38</x:f>
        <x:v>-7.105427357601002e-15</x:v>
      </x:c>
      <x:c r="M38" s="82" t="str">
        <x:f>IF(ABS(L38)&lt;0.000001,"MATCH","CHECK")</x:f>
        <x:v>MATCH</x:v>
      </x:c>
      <x:c r="N38" s="78" t="str">
        <x:v>7.28.26 raw!J31</x:v>
      </x:c>
    </x:row>
    <x:row r="39" ht="18" customHeight="1">
      <x:c r="A39" s="78" t="str">
        <x:v>7.28.26</x:v>
      </x:c>
      <x:c r="B39" s="79" t="n">
        <x:v>10</x:v>
      </x:c>
      <x:c r="C39" s="78" t="str">
        <x:v>WT</x:v>
      </x:c>
      <x:c r="D39" s="78" t="str">
        <x:v>dMIC60-WT</x:v>
      </x:c>
      <x:c r="E39" s="79" t="n">
        <x:v>4</x:v>
      </x:c>
      <x:c r="F39" s="68" t="n">
        <x:v>0.3846000134944916</x:v>
      </x:c>
      <x:c r="G39" s="69" t="n">
        <x:f>$T$4</x:f>
        <x:v>0.10319999853769939</x:v>
      </x:c>
      <x:c r="H39" s="69" t="n">
        <x:f>F39-G39</x:f>
        <x:v>0.2814000149567922</x:v>
      </x:c>
      <x:c r="I39" s="69" t="n">
        <x:f>AVERAGEIFS($H$12:$H$89,$A$12:$A$89,A39,$C$12:$C$89,C39,$B$12:$B$89,0)</x:f>
        <x:v>0.6345999936262767</x:v>
      </x:c>
      <x:c r="J39" s="69" t="n">
        <x:f>100*H39/I39</x:f>
        <x:v>44.34289596329746</x:v>
      </x:c>
      <x:c r="K39" s="80" t="n">
        <x:f>'Individual datapoints'!F32</x:f>
        <x:v>44.342895963297465</x:v>
      </x:c>
      <x:c r="L39" s="81" t="n">
        <x:f>J39-K39</x:f>
        <x:v>-7.105427357601002e-15</x:v>
      </x:c>
      <x:c r="M39" s="82" t="str">
        <x:f>IF(ABS(L39)&lt;0.000001,"MATCH","CHECK")</x:f>
        <x:v>MATCH</x:v>
      </x:c>
      <x:c r="N39" s="78" t="str">
        <x:v>7.28.26 raw!J32</x:v>
      </x:c>
    </x:row>
    <x:row r="40" ht="18" customHeight="1">
      <x:c r="A40" s="78" t="str">
        <x:v>7.28.26</x:v>
      </x:c>
      <x:c r="B40" s="79" t="n">
        <x:v>10</x:v>
      </x:c>
      <x:c r="C40" s="78" t="str">
        <x:v>WT</x:v>
      </x:c>
      <x:c r="D40" s="78" t="str">
        <x:v>dMIC60-WT</x:v>
      </x:c>
      <x:c r="E40" s="79" t="n">
        <x:v>5</x:v>
      </x:c>
      <x:c r="F40" s="68" t="n">
        <x:v>0.3959999978542328</x:v>
      </x:c>
      <x:c r="G40" s="69" t="n">
        <x:f>$T$4</x:f>
        <x:v>0.10319999853769939</x:v>
      </x:c>
      <x:c r="H40" s="69" t="n">
        <x:f>F40-G40</x:f>
        <x:v>0.2927999993165334</x:v>
      </x:c>
      <x:c r="I40" s="69" t="n">
        <x:f>AVERAGEIFS($H$12:$H$89,$A$12:$A$89,A40,$C$12:$C$89,C40,$B$12:$B$89,0)</x:f>
        <x:v>0.6345999936262767</x:v>
      </x:c>
      <x:c r="J40" s="69" t="n">
        <x:f>100*H40/I40</x:f>
        <x:v>46.13930070238335</x:v>
      </x:c>
      <x:c r="K40" s="80" t="n">
        <x:f>'Individual datapoints'!F33</x:f>
        <x:v>46.13930070238336</x:v>
      </x:c>
      <x:c r="L40" s="81" t="n">
        <x:f>J40-K40</x:f>
        <x:v>-7.105427357601002e-15</x:v>
      </x:c>
      <x:c r="M40" s="82" t="str">
        <x:f>IF(ABS(L40)&lt;0.000001,"MATCH","CHECK")</x:f>
        <x:v>MATCH</x:v>
      </x:c>
      <x:c r="N40" s="78" t="str">
        <x:v>7.28.26 raw!J33</x:v>
      </x:c>
    </x:row>
    <x:row r="41" ht="18" customHeight="1">
      <x:c r="A41" s="78" t="str">
        <x:v>7.28.26</x:v>
      </x:c>
      <x:c r="B41" s="79" t="n">
        <x:v>10</x:v>
      </x:c>
      <x:c r="C41" s="78" t="str">
        <x:v>WT</x:v>
      </x:c>
      <x:c r="D41" s="78" t="str">
        <x:v>dMIC60-WT</x:v>
      </x:c>
      <x:c r="E41" s="79" t="n">
        <x:v>6</x:v>
      </x:c>
      <x:c r="F41" s="68" t="n">
        <x:v>0.4009000062942505</x:v>
      </x:c>
      <x:c r="G41" s="69" t="n">
        <x:f>$T$4</x:f>
        <x:v>0.10319999853769939</x:v>
      </x:c>
      <x:c r="H41" s="69" t="n">
        <x:f>F41-G41</x:f>
        <x:v>0.2977000077565511</x:v>
      </x:c>
      <x:c r="I41" s="69" t="n">
        <x:f>AVERAGEIFS($H$12:$H$89,$A$12:$A$89,A41,$C$12:$C$89,C41,$B$12:$B$89,0)</x:f>
        <x:v>0.6345999936262767</x:v>
      </x:c>
      <x:c r="J41" s="69" t="n">
        <x:f>100*H41/I41</x:f>
        <x:v>46.91144197077791</x:v>
      </x:c>
      <x:c r="K41" s="80" t="n">
        <x:f>'Individual datapoints'!F34</x:f>
        <x:v>46.911441970777915</x:v>
      </x:c>
      <x:c r="L41" s="81" t="n">
        <x:f>J41-K41</x:f>
        <x:v>-7.105427357601002e-15</x:v>
      </x:c>
      <x:c r="M41" s="82" t="str">
        <x:f>IF(ABS(L41)&lt;0.000001,"MATCH","CHECK")</x:f>
        <x:v>MATCH</x:v>
      </x:c>
      <x:c r="N41" s="78" t="str">
        <x:v>7.28.26 raw!J34</x:v>
      </x:c>
    </x:row>
    <x:row r="42" ht="18" customHeight="1">
      <x:c r="A42" s="78" t="str">
        <x:v>7.28.26</x:v>
      </x:c>
      <x:c r="B42" s="79" t="n">
        <x:v>10</x:v>
      </x:c>
      <x:c r="C42" s="78" t="str">
        <x:v>CS</x:v>
      </x:c>
      <x:c r="D42" s="78" t="str">
        <x:v>dMIC60-CS</x:v>
      </x:c>
      <x:c r="E42" s="79" t="n">
        <x:v>1</x:v>
      </x:c>
      <x:c r="F42" s="68" t="n">
        <x:v>0.41780000925064087</x:v>
      </x:c>
      <x:c r="G42" s="69" t="n">
        <x:f>$T$4</x:f>
        <x:v>0.10319999853769939</x:v>
      </x:c>
      <x:c r="H42" s="69" t="n">
        <x:f>F42-G42</x:f>
        <x:v>0.31460001071294147</x:v>
      </x:c>
      <x:c r="I42" s="69" t="n">
        <x:f>AVERAGEIFS($H$12:$H$89,$A$12:$A$89,A42,$C$12:$C$89,C42,$B$12:$B$89,0)</x:f>
        <x:v>0.5807666679223379</x:v>
      </x:c>
      <x:c r="J42" s="69" t="n">
        <x:f>100*H42/I42</x:f>
        <x:v>54.16977731149868</x:v>
      </x:c>
      <x:c r="K42" s="80" t="n">
        <x:f>'Individual datapoints'!F35</x:f>
        <x:v>54.16977731149868</x:v>
      </x:c>
      <x:c r="L42" s="81" t="n">
        <x:f>J42-K42</x:f>
        <x:v>0</x:v>
      </x:c>
      <x:c r="M42" s="82" t="str">
        <x:f>IF(ABS(L42)&lt;0.000001,"MATCH","CHECK")</x:f>
        <x:v>MATCH</x:v>
      </x:c>
      <x:c r="N42" s="78" t="str">
        <x:v>7.28.26 raw!K29</x:v>
      </x:c>
    </x:row>
    <x:row r="43" ht="18" customHeight="1">
      <x:c r="A43" s="78" t="str">
        <x:v>7.28.26</x:v>
      </x:c>
      <x:c r="B43" s="79" t="n">
        <x:v>10</x:v>
      </x:c>
      <x:c r="C43" s="78" t="str">
        <x:v>CS</x:v>
      </x:c>
      <x:c r="D43" s="78" t="str">
        <x:v>dMIC60-CS</x:v>
      </x:c>
      <x:c r="E43" s="79" t="n">
        <x:v>2</x:v>
      </x:c>
      <x:c r="F43" s="68" t="n">
        <x:v>0.46720001101493835</x:v>
      </x:c>
      <x:c r="G43" s="69" t="n">
        <x:f>$T$4</x:f>
        <x:v>0.10319999853769939</x:v>
      </x:c>
      <x:c r="H43" s="69" t="n">
        <x:f>F43-G43</x:f>
        <x:v>0.36400001247723895</x:v>
      </x:c>
      <x:c r="I43" s="69" t="n">
        <x:f>AVERAGEIFS($H$12:$H$89,$A$12:$A$89,A43,$C$12:$C$89,C43,$B$12:$B$89,0)</x:f>
        <x:v>0.5807666679223379</x:v>
      </x:c>
      <x:c r="J43" s="69" t="n">
        <x:f>100*H43/I43</x:f>
        <x:v>62.675775415870504</x:v>
      </x:c>
      <x:c r="K43" s="80" t="n">
        <x:f>'Individual datapoints'!F36</x:f>
        <x:v>62.675775415870504</x:v>
      </x:c>
      <x:c r="L43" s="81" t="n">
        <x:f>J43-K43</x:f>
        <x:v>0</x:v>
      </x:c>
      <x:c r="M43" s="82" t="str">
        <x:f>IF(ABS(L43)&lt;0.000001,"MATCH","CHECK")</x:f>
        <x:v>MATCH</x:v>
      </x:c>
      <x:c r="N43" s="78" t="str">
        <x:v>7.28.26 raw!K30</x:v>
      </x:c>
    </x:row>
    <x:row r="44" ht="18" customHeight="1">
      <x:c r="A44" s="78" t="str">
        <x:v>7.28.26</x:v>
      </x:c>
      <x:c r="B44" s="79" t="n">
        <x:v>10</x:v>
      </x:c>
      <x:c r="C44" s="78" t="str">
        <x:v>CS</x:v>
      </x:c>
      <x:c r="D44" s="78" t="str">
        <x:v>dMIC60-CS</x:v>
      </x:c>
      <x:c r="E44" s="79" t="n">
        <x:v>3</x:v>
      </x:c>
      <x:c r="F44" s="68" t="n">
        <x:v>0.4359999895095825</x:v>
      </x:c>
      <x:c r="G44" s="69" t="n">
        <x:f>$T$4</x:f>
        <x:v>0.10319999853769939</x:v>
      </x:c>
      <x:c r="H44" s="69" t="n">
        <x:f>F44-G44</x:f>
        <x:v>0.3327999909718831</x:v>
      </x:c>
      <x:c r="I44" s="69" t="n">
        <x:f>AVERAGEIFS($H$12:$H$89,$A$12:$A$89,A44,$C$12:$C$89,C44,$B$12:$B$89,0)</x:f>
        <x:v>0.5807666679223379</x:v>
      </x:c>
      <x:c r="J44" s="69" t="n">
        <x:f>100*H44/I44</x:f>
        <x:v>57.303562575734155</x:v>
      </x:c>
      <x:c r="K44" s="80" t="n">
        <x:f>'Individual datapoints'!F37</x:f>
        <x:v>57.30356257573417</x:v>
      </x:c>
      <x:c r="L44" s="81" t="n">
        <x:f>J44-K44</x:f>
        <x:v>-1.4210854715202004e-14</x:v>
      </x:c>
      <x:c r="M44" s="82" t="str">
        <x:f>IF(ABS(L44)&lt;0.000001,"MATCH","CHECK")</x:f>
        <x:v>MATCH</x:v>
      </x:c>
      <x:c r="N44" s="78" t="str">
        <x:v>7.28.26 raw!K31</x:v>
      </x:c>
    </x:row>
    <x:row r="45" ht="18" customHeight="1">
      <x:c r="A45" s="78" t="str">
        <x:v>7.28.26</x:v>
      </x:c>
      <x:c r="B45" s="79" t="n">
        <x:v>10</x:v>
      </x:c>
      <x:c r="C45" s="78" t="str">
        <x:v>CS</x:v>
      </x:c>
      <x:c r="D45" s="78" t="str">
        <x:v>dMIC60-CS</x:v>
      </x:c>
      <x:c r="E45" s="79" t="n">
        <x:v>4</x:v>
      </x:c>
      <x:c r="F45" s="68" t="n">
        <x:v>0.44929999113082886</x:v>
      </x:c>
      <x:c r="G45" s="69" t="n">
        <x:f>$T$4</x:f>
        <x:v>0.10319999853769939</x:v>
      </x:c>
      <x:c r="H45" s="69" t="n">
        <x:f>F45-G45</x:f>
        <x:v>0.34609999259312946</x:v>
      </x:c>
      <x:c r="I45" s="69" t="n">
        <x:f>AVERAGEIFS($H$12:$H$89,$A$12:$A$89,A45,$C$12:$C$89,C45,$B$12:$B$89,0)</x:f>
        <x:v>0.5807666679223379</x:v>
      </x:c>
      <x:c r="J45" s="69" t="n">
        <x:f>100*H45/I45</x:f>
        <x:v>59.5936391858169</x:v>
      </x:c>
      <x:c r="K45" s="80" t="n">
        <x:f>'Individual datapoints'!F38</x:f>
        <x:v>59.593639185816905</x:v>
      </x:c>
      <x:c r="L45" s="81" t="n">
        <x:f>J45-K45</x:f>
        <x:v>-7.105427357601002e-15</x:v>
      </x:c>
      <x:c r="M45" s="82" t="str">
        <x:f>IF(ABS(L45)&lt;0.000001,"MATCH","CHECK")</x:f>
        <x:v>MATCH</x:v>
      </x:c>
      <x:c r="N45" s="78" t="str">
        <x:v>7.28.26 raw!K32</x:v>
      </x:c>
    </x:row>
    <x:row r="46" ht="18" customHeight="1">
      <x:c r="A46" s="78" t="str">
        <x:v>7.28.26</x:v>
      </x:c>
      <x:c r="B46" s="79" t="n">
        <x:v>10</x:v>
      </x:c>
      <x:c r="C46" s="78" t="str">
        <x:v>CS</x:v>
      </x:c>
      <x:c r="D46" s="78" t="str">
        <x:v>dMIC60-CS</x:v>
      </x:c>
      <x:c r="E46" s="79" t="n">
        <x:v>5</x:v>
      </x:c>
      <x:c r="F46" s="68" t="n">
        <x:v>0.45419999957084656</x:v>
      </x:c>
      <x:c r="G46" s="69" t="n">
        <x:f>$T$4</x:f>
        <x:v>0.10319999853769939</x:v>
      </x:c>
      <x:c r="H46" s="69" t="n">
        <x:f>F46-G46</x:f>
        <x:v>0.35100000103314716</x:v>
      </x:c>
      <x:c r="I46" s="69" t="n">
        <x:f>AVERAGEIFS($H$12:$H$89,$A$12:$A$89,A46,$C$12:$C$89,C46,$B$12:$B$89,0)</x:f>
        <x:v>0.5807666679223379</x:v>
      </x:c>
      <x:c r="J46" s="69" t="n">
        <x:f>100*H46/I46</x:f>
        <x:v>60.437352971517996</x:v>
      </x:c>
      <x:c r="K46" s="80" t="n">
        <x:f>'Individual datapoints'!F39</x:f>
        <x:v>60.437352971517996</x:v>
      </x:c>
      <x:c r="L46" s="81" t="n">
        <x:f>J46-K46</x:f>
        <x:v>0</x:v>
      </x:c>
      <x:c r="M46" s="82" t="str">
        <x:f>IF(ABS(L46)&lt;0.000001,"MATCH","CHECK")</x:f>
        <x:v>MATCH</x:v>
      </x:c>
      <x:c r="N46" s="78" t="str">
        <x:v>7.28.26 raw!K33</x:v>
      </x:c>
    </x:row>
    <x:row r="47" ht="18" customHeight="1">
      <x:c r="A47" s="78" t="str">
        <x:v>7.28.26</x:v>
      </x:c>
      <x:c r="B47" s="79" t="n">
        <x:v>10</x:v>
      </x:c>
      <x:c r="C47" s="78" t="str">
        <x:v>CS</x:v>
      </x:c>
      <x:c r="D47" s="78" t="str">
        <x:v>dMIC60-CS</x:v>
      </x:c>
      <x:c r="E47" s="79" t="n">
        <x:v>6</x:v>
      </x:c>
      <x:c r="F47" s="68" t="n">
        <x:v>0.4652000069618225</x:v>
      </x:c>
      <x:c r="G47" s="69" t="n">
        <x:f>$T$4</x:f>
        <x:v>0.10319999853769939</x:v>
      </x:c>
      <x:c r="H47" s="69" t="n">
        <x:f>F47-G47</x:f>
        <x:v>0.3620000084241231</x:v>
      </x:c>
      <x:c r="I47" s="69" t="n">
        <x:f>AVERAGEIFS($H$12:$H$89,$A$12:$A$89,A47,$C$12:$C$89,C47,$B$12:$B$89,0)</x:f>
        <x:v>0.5807666679223379</x:v>
      </x:c>
      <x:c r="J47" s="69" t="n">
        <x:f>100*H47/I47</x:f>
        <x:v>62.33140233738948</x:v>
      </x:c>
      <x:c r="K47" s="80" t="n">
        <x:f>'Individual datapoints'!F40</x:f>
        <x:v>62.33140233738948</x:v>
      </x:c>
      <x:c r="L47" s="81" t="n">
        <x:f>J47-K47</x:f>
        <x:v>0</x:v>
      </x:c>
      <x:c r="M47" s="82" t="str">
        <x:f>IF(ABS(L47)&lt;0.000001,"MATCH","CHECK")</x:f>
        <x:v>MATCH</x:v>
      </x:c>
      <x:c r="N47" s="78" t="str">
        <x:v>7.28.26 raw!K34</x:v>
      </x:c>
    </x:row>
    <x:row r="48" ht="18" customHeight="1">
      <x:c r="A48" s="78" t="str">
        <x:v>7.28.26</x:v>
      </x:c>
      <x:c r="B48" s="79" t="n">
        <x:v>20</x:v>
      </x:c>
      <x:c r="C48" s="78" t="str">
        <x:v>WT</x:v>
      </x:c>
      <x:c r="D48" s="78" t="str">
        <x:v>dMIC60-WT</x:v>
      </x:c>
      <x:c r="E48" s="79" t="n">
        <x:v>1</x:v>
      </x:c>
      <x:c r="F48" s="68" t="n">
        <x:v>0.2782000005245209</x:v>
      </x:c>
      <x:c r="G48" s="69" t="n">
        <x:f>$T$4</x:f>
        <x:v>0.10319999853769939</x:v>
      </x:c>
      <x:c r="H48" s="69" t="n">
        <x:f>F48-G48</x:f>
        <x:v>0.17500000198682147</x:v>
      </x:c>
      <x:c r="I48" s="69" t="n">
        <x:f>AVERAGEIFS($H$12:$H$89,$A$12:$A$89,A48,$C$12:$C$89,C48,$B$12:$B$89,0)</x:f>
        <x:v>0.6345999936262767</x:v>
      </x:c>
      <x:c r="J48" s="69" t="n">
        <x:f>100*H48/I48</x:f>
        <x:v>27.57642668522953</x:v>
      </x:c>
      <x:c r="K48" s="80" t="n">
        <x:f>'Individual datapoints'!F41</x:f>
        <x:v>27.57642668522953</x:v>
      </x:c>
      <x:c r="L48" s="81" t="n">
        <x:f>J48-K48</x:f>
        <x:v>0</x:v>
      </x:c>
      <x:c r="M48" s="82" t="str">
        <x:f>IF(ABS(L48)&lt;0.000001,"MATCH","CHECK")</x:f>
        <x:v>MATCH</x:v>
      </x:c>
      <x:c r="N48" s="78" t="str">
        <x:v>7.28.26 raw!H29</x:v>
      </x:c>
    </x:row>
    <x:row r="49" ht="18" customHeight="1">
      <x:c r="A49" s="78" t="str">
        <x:v>7.28.26</x:v>
      </x:c>
      <x:c r="B49" s="79" t="n">
        <x:v>20</x:v>
      </x:c>
      <x:c r="C49" s="78" t="str">
        <x:v>WT</x:v>
      </x:c>
      <x:c r="D49" s="78" t="str">
        <x:v>dMIC60-WT</x:v>
      </x:c>
      <x:c r="E49" s="79" t="n">
        <x:v>2</x:v>
      </x:c>
      <x:c r="F49" s="68" t="n">
        <x:v>0.3269999921321869</x:v>
      </x:c>
      <x:c r="G49" s="69" t="n">
        <x:f>$T$4</x:f>
        <x:v>0.10319999853769939</x:v>
      </x:c>
      <x:c r="H49" s="69" t="n">
        <x:f>F49-G49</x:f>
        <x:v>0.2237999935944875</x:v>
      </x:c>
      <x:c r="I49" s="69" t="n">
        <x:f>AVERAGEIFS($H$12:$H$89,$A$12:$A$89,A49,$C$12:$C$89,C49,$B$12:$B$89,0)</x:f>
        <x:v>0.6345999936262767</x:v>
      </x:c>
      <x:c r="J49" s="69" t="n">
        <x:f>100*H49/I49</x:f>
        <x:v>35.26630883111636</x:v>
      </x:c>
      <x:c r="K49" s="80" t="n">
        <x:f>'Individual datapoints'!F42</x:f>
        <x:v>35.26630883111637</x:v>
      </x:c>
      <x:c r="L49" s="81" t="n">
        <x:f>J49-K49</x:f>
        <x:v>-7.105427357601002e-15</x:v>
      </x:c>
      <x:c r="M49" s="82" t="str">
        <x:f>IF(ABS(L49)&lt;0.000001,"MATCH","CHECK")</x:f>
        <x:v>MATCH</x:v>
      </x:c>
      <x:c r="N49" s="78" t="str">
        <x:v>7.28.26 raw!H30</x:v>
      </x:c>
    </x:row>
    <x:row r="50" ht="18" customHeight="1">
      <x:c r="A50" s="78" t="str">
        <x:v>7.28.26</x:v>
      </x:c>
      <x:c r="B50" s="79" t="n">
        <x:v>20</x:v>
      </x:c>
      <x:c r="C50" s="78" t="str">
        <x:v>WT</x:v>
      </x:c>
      <x:c r="D50" s="78" t="str">
        <x:v>dMIC60-WT</x:v>
      </x:c>
      <x:c r="E50" s="79" t="n">
        <x:v>3</x:v>
      </x:c>
      <x:c r="F50" s="68" t="n">
        <x:v>0.34689998626708984</x:v>
      </x:c>
      <x:c r="G50" s="69" t="n">
        <x:f>$T$4</x:f>
        <x:v>0.10319999853769939</x:v>
      </x:c>
      <x:c r="H50" s="69" t="n">
        <x:f>F50-G50</x:f>
        <x:v>0.24369998772939044</x:v>
      </x:c>
      <x:c r="I50" s="69" t="n">
        <x:f>AVERAGEIFS($H$12:$H$89,$A$12:$A$89,A50,$C$12:$C$89,C50,$B$12:$B$89,0)</x:f>
        <x:v>0.6345999936262767</x:v>
      </x:c>
      <x:c r="J50" s="69" t="n">
        <x:f>100*H50/I50</x:f>
        <x:v>38.40214153435813</x:v>
      </x:c>
      <x:c r="K50" s="80" t="n">
        <x:f>'Individual datapoints'!F43</x:f>
        <x:v>38.40214153435814</x:v>
      </x:c>
      <x:c r="L50" s="81" t="n">
        <x:f>J50-K50</x:f>
        <x:v>-7.105427357601002e-15</x:v>
      </x:c>
      <x:c r="M50" s="82" t="str">
        <x:f>IF(ABS(L50)&lt;0.000001,"MATCH","CHECK")</x:f>
        <x:v>MATCH</x:v>
      </x:c>
      <x:c r="N50" s="78" t="str">
        <x:v>7.28.26 raw!H31</x:v>
      </x:c>
    </x:row>
    <x:row r="51" ht="18" customHeight="1">
      <x:c r="A51" s="78" t="str">
        <x:v>7.28.26</x:v>
      </x:c>
      <x:c r="B51" s="79" t="n">
        <x:v>20</x:v>
      </x:c>
      <x:c r="C51" s="78" t="str">
        <x:v>WT</x:v>
      </x:c>
      <x:c r="D51" s="78" t="str">
        <x:v>dMIC60-WT</x:v>
      </x:c>
      <x:c r="E51" s="79" t="n">
        <x:v>4</x:v>
      </x:c>
      <x:c r="F51" s="68" t="n">
        <x:v>0.2856000065803528</x:v>
      </x:c>
      <x:c r="G51" s="69" t="n">
        <x:f>$T$4</x:f>
        <x:v>0.10319999853769939</x:v>
      </x:c>
      <x:c r="H51" s="69" t="n">
        <x:f>F51-G51</x:f>
        <x:v>0.18240000804265338</x:v>
      </x:c>
      <x:c r="I51" s="69" t="n">
        <x:f>AVERAGEIFS($H$12:$H$89,$A$12:$A$89,A51,$C$12:$C$89,C51,$B$12:$B$89,0)</x:f>
        <x:v>0.6345999936262767</x:v>
      </x:c>
      <x:c r="J51" s="69" t="n">
        <x:f>100*H51/I51</x:f>
        <x:v>28.742516526098623</x:v>
      </x:c>
      <x:c r="K51" s="80" t="n">
        <x:f>'Individual datapoints'!F44</x:f>
        <x:v>28.742516526098626</x:v>
      </x:c>
      <x:c r="L51" s="81" t="n">
        <x:f>J51-K51</x:f>
        <x:v>-3.552713678800501e-15</x:v>
      </x:c>
      <x:c r="M51" s="82" t="str">
        <x:f>IF(ABS(L51)&lt;0.000001,"MATCH","CHECK")</x:f>
        <x:v>MATCH</x:v>
      </x:c>
      <x:c r="N51" s="78" t="str">
        <x:v>7.28.26 raw!H32</x:v>
      </x:c>
    </x:row>
    <x:row r="52" ht="18" customHeight="1">
      <x:c r="A52" s="78" t="str">
        <x:v>7.28.26</x:v>
      </x:c>
      <x:c r="B52" s="79" t="n">
        <x:v>20</x:v>
      </x:c>
      <x:c r="C52" s="78" t="str">
        <x:v>WT</x:v>
      </x:c>
      <x:c r="D52" s="78" t="str">
        <x:v>dMIC60-WT</x:v>
      </x:c>
      <x:c r="E52" s="79" t="n">
        <x:v>5</x:v>
      </x:c>
      <x:c r="F52" s="68" t="n">
        <x:v>0.29510000348091125</x:v>
      </x:c>
      <x:c r="G52" s="69" t="n">
        <x:f>$T$4</x:f>
        <x:v>0.10319999853769939</x:v>
      </x:c>
      <x:c r="H52" s="69" t="n">
        <x:f>F52-G52</x:f>
        <x:v>0.19190000494321185</x:v>
      </x:c>
      <x:c r="I52" s="69" t="n">
        <x:f>AVERAGEIFS($H$12:$H$89,$A$12:$A$89,A52,$C$12:$C$89,C52,$B$12:$B$89,0)</x:f>
        <x:v>0.6345999936262767</x:v>
      </x:c>
      <x:c r="J52" s="69" t="n">
        <x:f>100*H52/I52</x:f>
        <x:v>30.23952204074934</x:v>
      </x:c>
      <x:c r="K52" s="80" t="n">
        <x:f>'Individual datapoints'!F45</x:f>
        <x:v>30.239522040749346</x:v>
      </x:c>
      <x:c r="L52" s="81" t="n">
        <x:f>J52-K52</x:f>
        <x:v>-7.105427357601002e-15</x:v>
      </x:c>
      <x:c r="M52" s="82" t="str">
        <x:f>IF(ABS(L52)&lt;0.000001,"MATCH","CHECK")</x:f>
        <x:v>MATCH</x:v>
      </x:c>
      <x:c r="N52" s="78" t="str">
        <x:v>7.28.26 raw!H33</x:v>
      </x:c>
    </x:row>
    <x:row r="53" ht="18" customHeight="1">
      <x:c r="A53" s="78" t="str">
        <x:v>7.28.26</x:v>
      </x:c>
      <x:c r="B53" s="79" t="n">
        <x:v>20</x:v>
      </x:c>
      <x:c r="C53" s="78" t="str">
        <x:v>WT</x:v>
      </x:c>
      <x:c r="D53" s="78" t="str">
        <x:v>dMIC60-WT</x:v>
      </x:c>
      <x:c r="E53" s="79" t="n">
        <x:v>6</x:v>
      </x:c>
      <x:c r="F53" s="68" t="n">
        <x:v>0.28839999437332153</x:v>
      </x:c>
      <x:c r="G53" s="69" t="n">
        <x:f>$T$4</x:f>
        <x:v>0.10319999853769939</x:v>
      </x:c>
      <x:c r="H53" s="69" t="n">
        <x:f>F53-G53</x:f>
        <x:v>0.18519999583562213</x:v>
      </x:c>
      <x:c r="I53" s="69" t="n">
        <x:f>AVERAGEIFS($H$12:$H$89,$A$12:$A$89,A53,$C$12:$C$89,C53,$B$12:$B$89,0)</x:f>
        <x:v>0.6345999936262767</x:v>
      </x:c>
      <x:c r="J53" s="69" t="n">
        <x:f>100*H53/I53</x:f>
        <x:v>29.183737424474128</x:v>
      </x:c>
      <x:c r="K53" s="80" t="n">
        <x:f>'Individual datapoints'!F46</x:f>
        <x:v>29.18373742447413</x:v>
      </x:c>
      <x:c r="L53" s="81" t="n">
        <x:f>J53-K53</x:f>
        <x:v>-3.552713678800501e-15</x:v>
      </x:c>
      <x:c r="M53" s="82" t="str">
        <x:f>IF(ABS(L53)&lt;0.000001,"MATCH","CHECK")</x:f>
        <x:v>MATCH</x:v>
      </x:c>
      <x:c r="N53" s="78" t="str">
        <x:v>7.28.26 raw!H34</x:v>
      </x:c>
    </x:row>
    <x:row r="54" ht="18" customHeight="1">
      <x:c r="A54" s="78" t="str">
        <x:v>7.28.26</x:v>
      </x:c>
      <x:c r="B54" s="79" t="n">
        <x:v>20</x:v>
      </x:c>
      <x:c r="C54" s="78" t="str">
        <x:v>CS</x:v>
      </x:c>
      <x:c r="D54" s="78" t="str">
        <x:v>dMIC60-CS</x:v>
      </x:c>
      <x:c r="E54" s="79" t="n">
        <x:v>1</x:v>
      </x:c>
      <x:c r="F54" s="68" t="n">
        <x:v>0.30059999227523804</x:v>
      </x:c>
      <x:c r="G54" s="69" t="n">
        <x:f>$T$4</x:f>
        <x:v>0.10319999853769939</x:v>
      </x:c>
      <x:c r="H54" s="69" t="n">
        <x:f>F54-G54</x:f>
        <x:v>0.19739999373753864</x:v>
      </x:c>
      <x:c r="I54" s="69" t="n">
        <x:f>AVERAGEIFS($H$12:$H$89,$A$12:$A$89,A54,$C$12:$C$89,C54,$B$12:$B$89,0)</x:f>
        <x:v>0.5807666679223379</x:v>
      </x:c>
      <x:c r="J54" s="69" t="n">
        <x:f>100*H54/I54</x:f>
        <x:v>33.98955288596825</x:v>
      </x:c>
      <x:c r="K54" s="80" t="n">
        <x:f>'Individual datapoints'!F47</x:f>
        <x:v>33.98955288596825</x:v>
      </x:c>
      <x:c r="L54" s="81" t="n">
        <x:f>J54-K54</x:f>
        <x:v>0</x:v>
      </x:c>
      <x:c r="M54" s="82" t="str">
        <x:f>IF(ABS(L54)&lt;0.000001,"MATCH","CHECK")</x:f>
        <x:v>MATCH</x:v>
      </x:c>
      <x:c r="N54" s="78" t="str">
        <x:v>7.28.26 raw!I29</x:v>
      </x:c>
    </x:row>
    <x:row r="55" ht="18" customHeight="1">
      <x:c r="A55" s="78" t="str">
        <x:v>7.28.26</x:v>
      </x:c>
      <x:c r="B55" s="79" t="n">
        <x:v>20</x:v>
      </x:c>
      <x:c r="C55" s="78" t="str">
        <x:v>CS</x:v>
      </x:c>
      <x:c r="D55" s="78" t="str">
        <x:v>dMIC60-CS</x:v>
      </x:c>
      <x:c r="E55" s="79" t="n">
        <x:v>2</x:v>
      </x:c>
      <x:c r="F55" s="68" t="n">
        <x:v>0.35530000925064087</x:v>
      </x:c>
      <x:c r="G55" s="69" t="n">
        <x:f>$T$4</x:f>
        <x:v>0.10319999853769939</x:v>
      </x:c>
      <x:c r="H55" s="69" t="n">
        <x:f>F55-G55</x:f>
        <x:v>0.25210001071294147</x:v>
      </x:c>
      <x:c r="I55" s="69" t="n">
        <x:f>AVERAGEIFS($H$12:$H$89,$A$12:$A$89,A55,$C$12:$C$89,C55,$B$12:$B$89,0)</x:f>
        <x:v>0.5807666679223379</x:v>
      </x:c>
      <x:c r="J55" s="69" t="n">
        <x:f>100*H55/I55</x:f>
        <x:v>43.408140418047054</x:v>
      </x:c>
      <x:c r="K55" s="80" t="n">
        <x:f>'Individual datapoints'!F48</x:f>
        <x:v>43.408140418047054</x:v>
      </x:c>
      <x:c r="L55" s="81" t="n">
        <x:f>J55-K55</x:f>
        <x:v>0</x:v>
      </x:c>
      <x:c r="M55" s="82" t="str">
        <x:f>IF(ABS(L55)&lt;0.000001,"MATCH","CHECK")</x:f>
        <x:v>MATCH</x:v>
      </x:c>
      <x:c r="N55" s="78" t="str">
        <x:v>7.28.26 raw!I30</x:v>
      </x:c>
    </x:row>
    <x:row r="56" ht="18" customHeight="1">
      <x:c r="A56" s="78" t="str">
        <x:v>7.28.26</x:v>
      </x:c>
      <x:c r="B56" s="79" t="n">
        <x:v>20</x:v>
      </x:c>
      <x:c r="C56" s="78" t="str">
        <x:v>CS</x:v>
      </x:c>
      <x:c r="D56" s="78" t="str">
        <x:v>dMIC60-CS</x:v>
      </x:c>
      <x:c r="E56" s="79" t="n">
        <x:v>3</x:v>
      </x:c>
      <x:c r="F56" s="68" t="n">
        <x:v>0.3716000020503998</x:v>
      </x:c>
      <x:c r="G56" s="69" t="n">
        <x:f>$T$4</x:f>
        <x:v>0.10319999853769939</x:v>
      </x:c>
      <x:c r="H56" s="69" t="n">
        <x:f>F56-G56</x:f>
        <x:v>0.2684000035127004</x:v>
      </x:c>
      <x:c r="I56" s="69" t="n">
        <x:f>AVERAGEIFS($H$12:$H$89,$A$12:$A$89,A56,$C$12:$C$89,C56,$B$12:$B$89,0)</x:f>
        <x:v>0.5807666679223379</x:v>
      </x:c>
      <x:c r="J56" s="69" t="n">
        <x:f>100*H56/I56</x:f>
        <x:v>46.214774080077156</x:v>
      </x:c>
      <x:c r="K56" s="80" t="n">
        <x:f>'Individual datapoints'!F49</x:f>
        <x:v>46.214774080077156</x:v>
      </x:c>
      <x:c r="L56" s="81" t="n">
        <x:f>J56-K56</x:f>
        <x:v>0</x:v>
      </x:c>
      <x:c r="M56" s="82" t="str">
        <x:f>IF(ABS(L56)&lt;0.000001,"MATCH","CHECK")</x:f>
        <x:v>MATCH</x:v>
      </x:c>
      <x:c r="N56" s="78" t="str">
        <x:v>7.28.26 raw!I31</x:v>
      </x:c>
    </x:row>
    <x:row r="57" ht="18" customHeight="1">
      <x:c r="A57" s="78" t="str">
        <x:v>7.28.26</x:v>
      </x:c>
      <x:c r="B57" s="79" t="n">
        <x:v>20</x:v>
      </x:c>
      <x:c r="C57" s="78" t="str">
        <x:v>CS</x:v>
      </x:c>
      <x:c r="D57" s="78" t="str">
        <x:v>dMIC60-CS</x:v>
      </x:c>
      <x:c r="E57" s="79" t="n">
        <x:v>4</x:v>
      </x:c>
      <x:c r="F57" s="68" t="n">
        <x:v>0.35409998893737793</x:v>
      </x:c>
      <x:c r="G57" s="69" t="n">
        <x:f>$T$4</x:f>
        <x:v>0.10319999853769939</x:v>
      </x:c>
      <x:c r="H57" s="69" t="n">
        <x:f>F57-G57</x:f>
        <x:v>0.25089999039967853</x:v>
      </x:c>
      <x:c r="I57" s="69" t="n">
        <x:f>AVERAGEIFS($H$12:$H$89,$A$12:$A$89,A57,$C$12:$C$89,C57,$B$12:$B$89,0)</x:f>
        <x:v>0.5807666679223379</x:v>
      </x:c>
      <x:c r="J57" s="69" t="n">
        <x:f>100*H57/I57</x:f>
        <x:v>43.20151349202943</x:v>
      </x:c>
      <x:c r="K57" s="80" t="n">
        <x:f>'Individual datapoints'!F50</x:f>
        <x:v>43.20151349202943</x:v>
      </x:c>
      <x:c r="L57" s="81" t="n">
        <x:f>J57-K57</x:f>
        <x:v>0</x:v>
      </x:c>
      <x:c r="M57" s="82" t="str">
        <x:f>IF(ABS(L57)&lt;0.000001,"MATCH","CHECK")</x:f>
        <x:v>MATCH</x:v>
      </x:c>
      <x:c r="N57" s="78" t="str">
        <x:v>7.28.26 raw!I32</x:v>
      </x:c>
    </x:row>
    <x:row r="58" ht="18" customHeight="1">
      <x:c r="A58" s="78" t="str">
        <x:v>7.28.26</x:v>
      </x:c>
      <x:c r="B58" s="79" t="n">
        <x:v>20</x:v>
      </x:c>
      <x:c r="C58" s="78" t="str">
        <x:v>CS</x:v>
      </x:c>
      <x:c r="D58" s="78" t="str">
        <x:v>dMIC60-CS</x:v>
      </x:c>
      <x:c r="E58" s="79" t="n">
        <x:v>5</x:v>
      </x:c>
      <x:c r="F58" s="68" t="n">
        <x:v>0.3882000148296356</x:v>
      </x:c>
      <x:c r="G58" s="69" t="n">
        <x:f>$T$4</x:f>
        <x:v>0.10319999853769939</x:v>
      </x:c>
      <x:c r="H58" s="69" t="n">
        <x:f>F58-G58</x:f>
        <x:v>0.2850000162919362</x:v>
      </x:c>
      <x:c r="I58" s="69" t="n">
        <x:f>AVERAGEIFS($H$12:$H$89,$A$12:$A$89,A58,$C$12:$C$89,C58,$B$12:$B$89,0)</x:f>
        <x:v>0.5807666679223379</x:v>
      </x:c>
      <x:c r="J58" s="69" t="n">
        <x:f>100*H58/I58</x:f>
        <x:v>49.07306703938584</x:v>
      </x:c>
      <x:c r="K58" s="80" t="n">
        <x:f>'Individual datapoints'!F51</x:f>
        <x:v>49.07306703938584</x:v>
      </x:c>
      <x:c r="L58" s="81" t="n">
        <x:f>J58-K58</x:f>
        <x:v>0</x:v>
      </x:c>
      <x:c r="M58" s="82" t="str">
        <x:f>IF(ABS(L58)&lt;0.000001,"MATCH","CHECK")</x:f>
        <x:v>MATCH</x:v>
      </x:c>
      <x:c r="N58" s="78" t="str">
        <x:v>7.28.26 raw!I33</x:v>
      </x:c>
    </x:row>
    <x:row r="59" ht="18" customHeight="1">
      <x:c r="A59" s="78" t="str">
        <x:v>7.28.26</x:v>
      </x:c>
      <x:c r="B59" s="79" t="n">
        <x:v>20</x:v>
      </x:c>
      <x:c r="C59" s="78" t="str">
        <x:v>CS</x:v>
      </x:c>
      <x:c r="D59" s="78" t="str">
        <x:v>dMIC60-CS</x:v>
      </x:c>
      <x:c r="E59" s="79" t="n">
        <x:v>6</x:v>
      </x:c>
      <x:c r="F59" s="68" t="n">
        <x:v>0.35499998927116394</x:v>
      </x:c>
      <x:c r="G59" s="69" t="n">
        <x:f>$T$4</x:f>
        <x:v>0.10319999853769939</x:v>
      </x:c>
      <x:c r="H59" s="69" t="n">
        <x:f>F59-G59</x:f>
        <x:v>0.25179999073346454</x:v>
      </x:c>
      <x:c r="I59" s="69" t="n">
        <x:f>AVERAGEIFS($H$12:$H$89,$A$12:$A$89,A59,$C$12:$C$89,C59,$B$12:$B$89,0)</x:f>
        <x:v>0.5807666679223379</x:v>
      </x:c>
      <x:c r="J59" s="69" t="n">
        <x:f>100*H59/I59</x:f>
        <x:v>43.35648112076847</x:v>
      </x:c>
      <x:c r="K59" s="80" t="n">
        <x:f>'Individual datapoints'!F52</x:f>
        <x:v>43.35648112076847</x:v>
      </x:c>
      <x:c r="L59" s="81" t="n">
        <x:f>J59-K59</x:f>
        <x:v>0</x:v>
      </x:c>
      <x:c r="M59" s="82" t="str">
        <x:f>IF(ABS(L59)&lt;0.000001,"MATCH","CHECK")</x:f>
        <x:v>MATCH</x:v>
      </x:c>
      <x:c r="N59" s="78" t="str">
        <x:v>7.28.26 raw!I34</x:v>
      </x:c>
    </x:row>
    <x:row r="60" ht="18" customHeight="1">
      <x:c r="A60" s="78" t="str">
        <x:v>7.28.26</x:v>
      </x:c>
      <x:c r="B60" s="79" t="n">
        <x:v>40</x:v>
      </x:c>
      <x:c r="C60" s="78" t="str">
        <x:v>WT</x:v>
      </x:c>
      <x:c r="D60" s="78" t="str">
        <x:v>dMIC60-WT</x:v>
      </x:c>
      <x:c r="E60" s="79" t="n">
        <x:v>1</x:v>
      </x:c>
      <x:c r="F60" s="68" t="n">
        <x:v>0.20190000534057617</x:v>
      </x:c>
      <x:c r="G60" s="69" t="n">
        <x:f>$T$4</x:f>
        <x:v>0.10319999853769939</x:v>
      </x:c>
      <x:c r="H60" s="69" t="n">
        <x:f>F60-G60</x:f>
        <x:v>0.09870000680287679</x:v>
      </x:c>
      <x:c r="I60" s="69" t="n">
        <x:f>AVERAGEIFS($H$12:$H$89,$A$12:$A$89,A60,$C$12:$C$89,C60,$B$12:$B$89,0)</x:f>
        <x:v>0.6345999936262767</x:v>
      </x:c>
      <x:c r="J60" s="69" t="n">
        <x:f>100*H60/I60</x:f>
        <x:v>15.55310554588539</x:v>
      </x:c>
      <x:c r="K60" s="80" t="n">
        <x:f>'Individual datapoints'!F53</x:f>
        <x:v>15.553105545885392</x:v>
      </x:c>
      <x:c r="L60" s="81" t="n">
        <x:f>J60-K60</x:f>
        <x:v>-1.7763568394002505e-15</x:v>
      </x:c>
      <x:c r="M60" s="82" t="str">
        <x:f>IF(ABS(L60)&lt;0.000001,"MATCH","CHECK")</x:f>
        <x:v>MATCH</x:v>
      </x:c>
      <x:c r="N60" s="78" t="str">
        <x:v>7.28.26 raw!F29</x:v>
      </x:c>
    </x:row>
    <x:row r="61" ht="18" customHeight="1">
      <x:c r="A61" s="78" t="str">
        <x:v>7.28.26</x:v>
      </x:c>
      <x:c r="B61" s="79" t="n">
        <x:v>40</x:v>
      </x:c>
      <x:c r="C61" s="78" t="str">
        <x:v>WT</x:v>
      </x:c>
      <x:c r="D61" s="78" t="str">
        <x:v>dMIC60-WT</x:v>
      </x:c>
      <x:c r="E61" s="79" t="n">
        <x:v>2</x:v>
      </x:c>
      <x:c r="F61" s="68" t="n">
        <x:v>0.21940000355243683</x:v>
      </x:c>
      <x:c r="G61" s="69" t="n">
        <x:f>$T$4</x:f>
        <x:v>0.10319999853769939</x:v>
      </x:c>
      <x:c r="H61" s="69" t="n">
        <x:f>F61-G61</x:f>
        <x:v>0.11620000501473744</x:v>
      </x:c>
      <x:c r="I61" s="69" t="n">
        <x:f>AVERAGEIFS($H$12:$H$89,$A$12:$A$89,A61,$C$12:$C$89,C61,$B$12:$B$89,0)</x:f>
        <x:v>0.6345999936262767</x:v>
      </x:c>
      <x:c r="J61" s="69" t="n">
        <x:f>100*H61/I61</x:f>
        <x:v>18.310747901325847</x:v>
      </x:c>
      <x:c r="K61" s="80" t="n">
        <x:f>'Individual datapoints'!F54</x:f>
        <x:v>18.310747901325854</x:v>
      </x:c>
      <x:c r="L61" s="81" t="n">
        <x:f>J61-K61</x:f>
        <x:v>-7.105427357601002e-15</x:v>
      </x:c>
      <x:c r="M61" s="82" t="str">
        <x:f>IF(ABS(L61)&lt;0.000001,"MATCH","CHECK")</x:f>
        <x:v>MATCH</x:v>
      </x:c>
      <x:c r="N61" s="78" t="str">
        <x:v>7.28.26 raw!F30</x:v>
      </x:c>
    </x:row>
    <x:row r="62" ht="18" customHeight="1">
      <x:c r="A62" s="78" t="str">
        <x:v>7.28.26</x:v>
      </x:c>
      <x:c r="B62" s="79" t="n">
        <x:v>40</x:v>
      </x:c>
      <x:c r="C62" s="78" t="str">
        <x:v>WT</x:v>
      </x:c>
      <x:c r="D62" s="78" t="str">
        <x:v>dMIC60-WT</x:v>
      </x:c>
      <x:c r="E62" s="79" t="n">
        <x:v>3</x:v>
      </x:c>
      <x:c r="F62" s="68" t="n">
        <x:v>0.22689999639987946</x:v>
      </x:c>
      <x:c r="G62" s="69" t="n">
        <x:f>$T$4</x:f>
        <x:v>0.10319999853769939</x:v>
      </x:c>
      <x:c r="H62" s="69" t="n">
        <x:f>F62-G62</x:f>
        <x:v>0.12369999786218007</x:v>
      </x:c>
      <x:c r="I62" s="69" t="n">
        <x:f>AVERAGEIFS($H$12:$H$89,$A$12:$A$89,A62,$C$12:$C$89,C62,$B$12:$B$89,0)</x:f>
        <x:v>0.6345999936262767</x:v>
      </x:c>
      <x:c r="J62" s="69" t="n">
        <x:f>100*H62/I62</x:f>
        <x:v>19.492593618749453</x:v>
      </x:c>
      <x:c r="K62" s="80" t="n">
        <x:f>'Individual datapoints'!F55</x:f>
        <x:v>19.49259361874946</x:v>
      </x:c>
      <x:c r="L62" s="81" t="n">
        <x:f>J62-K62</x:f>
        <x:v>-7.105427357601002e-15</x:v>
      </x:c>
      <x:c r="M62" s="82" t="str">
        <x:f>IF(ABS(L62)&lt;0.000001,"MATCH","CHECK")</x:f>
        <x:v>MATCH</x:v>
      </x:c>
      <x:c r="N62" s="78" t="str">
        <x:v>7.28.26 raw!F31</x:v>
      </x:c>
    </x:row>
    <x:row r="63" ht="18" customHeight="1">
      <x:c r="A63" s="78" t="str">
        <x:v>7.28.26</x:v>
      </x:c>
      <x:c r="B63" s="79" t="n">
        <x:v>40</x:v>
      </x:c>
      <x:c r="C63" s="78" t="str">
        <x:v>WT</x:v>
      </x:c>
      <x:c r="D63" s="78" t="str">
        <x:v>dMIC60-WT</x:v>
      </x:c>
      <x:c r="E63" s="79" t="n">
        <x:v>4</x:v>
      </x:c>
      <x:c r="F63" s="68" t="n">
        <x:v>0.2345000058412552</x:v>
      </x:c>
      <x:c r="G63" s="69" t="n">
        <x:f>$T$4</x:f>
        <x:v>0.10319999853769939</x:v>
      </x:c>
      <x:c r="H63" s="69" t="n">
        <x:f>F63-G63</x:f>
        <x:v>0.1313000073035558</x:v>
      </x:c>
      <x:c r="I63" s="69" t="n">
        <x:f>AVERAGEIFS($H$12:$H$89,$A$12:$A$89,A63,$C$12:$C$89,C63,$B$12:$B$89,0)</x:f>
        <x:v>0.6345999936262767</x:v>
      </x:c>
      <x:c r="J63" s="69" t="n">
        <x:f>100*H63/I63</x:f>
        <x:v>20.690199908965</x:v>
      </x:c>
      <x:c r="K63" s="80" t="n">
        <x:f>'Individual datapoints'!F56</x:f>
        <x:v>20.690199908965003</x:v>
      </x:c>
      <x:c r="L63" s="81" t="n">
        <x:f>J63-K63</x:f>
        <x:v>-3.552713678800501e-15</x:v>
      </x:c>
      <x:c r="M63" s="82" t="str">
        <x:f>IF(ABS(L63)&lt;0.000001,"MATCH","CHECK")</x:f>
        <x:v>MATCH</x:v>
      </x:c>
      <x:c r="N63" s="78" t="str">
        <x:v>7.28.26 raw!F32</x:v>
      </x:c>
    </x:row>
    <x:row r="64" ht="18" customHeight="1">
      <x:c r="A64" s="78" t="str">
        <x:v>7.28.26</x:v>
      </x:c>
      <x:c r="B64" s="79" t="n">
        <x:v>40</x:v>
      </x:c>
      <x:c r="C64" s="78" t="str">
        <x:v>WT</x:v>
      </x:c>
      <x:c r="D64" s="78" t="str">
        <x:v>dMIC60-WT</x:v>
      </x:c>
      <x:c r="E64" s="79" t="n">
        <x:v>5</x:v>
      </x:c>
      <x:c r="F64" s="68" t="n">
        <x:v>0.21310000121593475</x:v>
      </x:c>
      <x:c r="G64" s="69" t="n">
        <x:f>$T$4</x:f>
        <x:v>0.10319999853769939</x:v>
      </x:c>
      <x:c r="H64" s="69" t="n">
        <x:f>F64-G64</x:f>
        <x:v>0.10990000267823537</x:v>
      </x:c>
      <x:c r="I64" s="69" t="n">
        <x:f>AVERAGEIFS($H$12:$H$89,$A$12:$A$89,A64,$C$12:$C$89,C64,$B$12:$B$89,0)</x:f>
        <x:v>0.6345999936262767</x:v>
      </x:c>
      <x:c r="J64" s="69" t="n">
        <x:f>100*H64/I64</x:f>
        <x:v>17.317996183743542</x:v>
      </x:c>
      <x:c r="K64" s="80" t="n">
        <x:f>'Individual datapoints'!F57</x:f>
        <x:v>17.317996183743546</x:v>
      </x:c>
      <x:c r="L64" s="81" t="n">
        <x:f>J64-K64</x:f>
        <x:v>-3.552713678800501e-15</x:v>
      </x:c>
      <x:c r="M64" s="82" t="str">
        <x:f>IF(ABS(L64)&lt;0.000001,"MATCH","CHECK")</x:f>
        <x:v>MATCH</x:v>
      </x:c>
      <x:c r="N64" s="78" t="str">
        <x:v>7.28.26 raw!F33</x:v>
      </x:c>
    </x:row>
    <x:row r="65" ht="18" customHeight="1">
      <x:c r="A65" s="78" t="str">
        <x:v>7.28.26</x:v>
      </x:c>
      <x:c r="B65" s="79" t="n">
        <x:v>40</x:v>
      </x:c>
      <x:c r="C65" s="78" t="str">
        <x:v>WT</x:v>
      </x:c>
      <x:c r="D65" s="78" t="str">
        <x:v>dMIC60-WT</x:v>
      </x:c>
      <x:c r="E65" s="79" t="n">
        <x:v>6</x:v>
      </x:c>
      <x:c r="F65" s="68" t="n">
        <x:v>0.2053000032901764</x:v>
      </x:c>
      <x:c r="G65" s="69" t="n">
        <x:f>$T$4</x:f>
        <x:v>0.10319999853769939</x:v>
      </x:c>
      <x:c r="H65" s="69" t="n">
        <x:f>F65-G65</x:f>
        <x:v>0.102100004752477</x:v>
      </x:c>
      <x:c r="I65" s="69" t="n">
        <x:f>AVERAGEIFS($H$12:$H$89,$A$12:$A$89,A65,$C$12:$C$89,C65,$B$12:$B$89,0)</x:f>
        <x:v>0.6345999936262767</x:v>
      </x:c>
      <x:c r="J65" s="69" t="n">
        <x:f>100*H65/I65</x:f>
        <x:v>16.088875792300254</x:v>
      </x:c>
      <x:c r="K65" s="80" t="n">
        <x:f>'Individual datapoints'!F58</x:f>
        <x:v>16.088875792300257</x:v>
      </x:c>
      <x:c r="L65" s="81" t="n">
        <x:f>J65-K65</x:f>
        <x:v>-3.552713678800501e-15</x:v>
      </x:c>
      <x:c r="M65" s="82" t="str">
        <x:f>IF(ABS(L65)&lt;0.000001,"MATCH","CHECK")</x:f>
        <x:v>MATCH</x:v>
      </x:c>
      <x:c r="N65" s="78" t="str">
        <x:v>7.28.26 raw!F34</x:v>
      </x:c>
    </x:row>
    <x:row r="66" ht="18" customHeight="1">
      <x:c r="A66" s="78" t="str">
        <x:v>7.28.26</x:v>
      </x:c>
      <x:c r="B66" s="79" t="n">
        <x:v>40</x:v>
      </x:c>
      <x:c r="C66" s="78" t="str">
        <x:v>CS</x:v>
      </x:c>
      <x:c r="D66" s="78" t="str">
        <x:v>dMIC60-CS</x:v>
      </x:c>
      <x:c r="E66" s="79" t="n">
        <x:v>1</x:v>
      </x:c>
      <x:c r="F66" s="68" t="n">
        <x:v>0.22830000519752502</x:v>
      </x:c>
      <x:c r="G66" s="69" t="n">
        <x:f>$T$4</x:f>
        <x:v>0.10319999853769939</x:v>
      </x:c>
      <x:c r="H66" s="69" t="n">
        <x:f>F66-G66</x:f>
        <x:v>0.12510000665982562</x:v>
      </x:c>
      <x:c r="I66" s="69" t="n">
        <x:f>AVERAGEIFS($H$12:$H$89,$A$12:$A$89,A66,$C$12:$C$89,C66,$B$12:$B$89,0)</x:f>
        <x:v>0.5807666679223379</x:v>
      </x:c>
      <x:c r="J66" s="69" t="n">
        <x:f>100*H66/I66</x:f>
        <x:v>21.540493552662777</x:v>
      </x:c>
      <x:c r="K66" s="80" t="n">
        <x:f>'Individual datapoints'!F59</x:f>
        <x:v>21.540493552662777</x:v>
      </x:c>
      <x:c r="L66" s="81" t="n">
        <x:f>J66-K66</x:f>
        <x:v>0</x:v>
      </x:c>
      <x:c r="M66" s="82" t="str">
        <x:f>IF(ABS(L66)&lt;0.000001,"MATCH","CHECK")</x:f>
        <x:v>MATCH</x:v>
      </x:c>
      <x:c r="N66" s="78" t="str">
        <x:v>7.28.26 raw!G29</x:v>
      </x:c>
    </x:row>
    <x:row r="67" ht="18" customHeight="1">
      <x:c r="A67" s="78" t="str">
        <x:v>7.28.26</x:v>
      </x:c>
      <x:c r="B67" s="79" t="n">
        <x:v>40</x:v>
      </x:c>
      <x:c r="C67" s="78" t="str">
        <x:v>CS</x:v>
      </x:c>
      <x:c r="D67" s="78" t="str">
        <x:v>dMIC60-CS</x:v>
      </x:c>
      <x:c r="E67" s="79" t="n">
        <x:v>2</x:v>
      </x:c>
      <x:c r="F67" s="68" t="n">
        <x:v>0.2386000007390976</x:v>
      </x:c>
      <x:c r="G67" s="69" t="n">
        <x:f>$T$4</x:f>
        <x:v>0.10319999853769939</x:v>
      </x:c>
      <x:c r="H67" s="69" t="n">
        <x:f>F67-G67</x:f>
        <x:v>0.1354000022013982</x:v>
      </x:c>
      <x:c r="I67" s="69" t="n">
        <x:f>AVERAGEIFS($H$12:$H$89,$A$12:$A$89,A67,$C$12:$C$89,C67,$B$12:$B$89,0)</x:f>
        <x:v>0.5807666679223379</x:v>
      </x:c>
      <x:c r="J67" s="69" t="n">
        <x:f>100*H67/I67</x:f>
        <x:v>23.314010545023972</x:v>
      </x:c>
      <x:c r="K67" s="80" t="n">
        <x:f>'Individual datapoints'!F60</x:f>
        <x:v>23.31401054502397</x:v>
      </x:c>
      <x:c r="L67" s="81" t="n">
        <x:f>J67-K67</x:f>
        <x:v>3.552713678800501e-15</x:v>
      </x:c>
      <x:c r="M67" s="82" t="str">
        <x:f>IF(ABS(L67)&lt;0.000001,"MATCH","CHECK")</x:f>
        <x:v>MATCH</x:v>
      </x:c>
      <x:c r="N67" s="78" t="str">
        <x:v>7.28.26 raw!G30</x:v>
      </x:c>
    </x:row>
    <x:row r="68" ht="18" customHeight="1">
      <x:c r="A68" s="78" t="str">
        <x:v>7.28.26</x:v>
      </x:c>
      <x:c r="B68" s="79" t="n">
        <x:v>40</x:v>
      </x:c>
      <x:c r="C68" s="78" t="str">
        <x:v>CS</x:v>
      </x:c>
      <x:c r="D68" s="78" t="str">
        <x:v>dMIC60-CS</x:v>
      </x:c>
      <x:c r="E68" s="79" t="n">
        <x:v>3</x:v>
      </x:c>
      <x:c r="F68" s="68" t="n">
        <x:v>0.2565000057220459</x:v>
      </x:c>
      <x:c r="G68" s="69" t="n">
        <x:f>$T$4</x:f>
        <x:v>0.10319999853769939</x:v>
      </x:c>
      <x:c r="H68" s="69" t="n">
        <x:f>F68-G68</x:f>
        <x:v>0.1533000071843465</x:v>
      </x:c>
      <x:c r="I68" s="69" t="n">
        <x:f>AVERAGEIFS($H$12:$H$89,$A$12:$A$89,A68,$C$12:$C$89,C68,$B$12:$B$89,0)</x:f>
        <x:v>0.5807666679223379</x:v>
      </x:c>
      <x:c r="J68" s="69" t="n">
        <x:f>100*H68/I68</x:f>
        <x:v>26.3961442093034</x:v>
      </x:c>
      <x:c r="K68" s="80" t="n">
        <x:f>'Individual datapoints'!F61</x:f>
        <x:v>26.3961442093034</x:v>
      </x:c>
      <x:c r="L68" s="81" t="n">
        <x:f>J68-K68</x:f>
        <x:v>0</x:v>
      </x:c>
      <x:c r="M68" s="82" t="str">
        <x:f>IF(ABS(L68)&lt;0.000001,"MATCH","CHECK")</x:f>
        <x:v>MATCH</x:v>
      </x:c>
      <x:c r="N68" s="78" t="str">
        <x:v>7.28.26 raw!G31</x:v>
      </x:c>
    </x:row>
    <x:row r="69" ht="18" customHeight="1">
      <x:c r="A69" s="78" t="str">
        <x:v>7.28.26</x:v>
      </x:c>
      <x:c r="B69" s="79" t="n">
        <x:v>40</x:v>
      </x:c>
      <x:c r="C69" s="78" t="str">
        <x:v>CS</x:v>
      </x:c>
      <x:c r="D69" s="78" t="str">
        <x:v>dMIC60-CS</x:v>
      </x:c>
      <x:c r="E69" s="79" t="n">
        <x:v>4</x:v>
      </x:c>
      <x:c r="F69" s="68" t="n">
        <x:v>0.2581999897956848</x:v>
      </x:c>
      <x:c r="G69" s="69" t="n">
        <x:f>$T$4</x:f>
        <x:v>0.10319999853769939</x:v>
      </x:c>
      <x:c r="H69" s="69" t="n">
        <x:f>F69-G69</x:f>
        <x:v>0.15499999125798541</x:v>
      </x:c>
      <x:c r="I69" s="69" t="n">
        <x:f>AVERAGEIFS($H$12:$H$89,$A$12:$A$89,A69,$C$12:$C$89,C69,$B$12:$B$89,0)</x:f>
        <x:v>0.5807666679223379</x:v>
      </x:c>
      <x:c r="J69" s="69" t="n">
        <x:f>100*H69/I69</x:f>
        <x:v>26.688857990505845</x:v>
      </x:c>
      <x:c r="K69" s="80" t="n">
        <x:f>'Individual datapoints'!F62</x:f>
        <x:v>26.688857990505845</x:v>
      </x:c>
      <x:c r="L69" s="81" t="n">
        <x:f>J69-K69</x:f>
        <x:v>0</x:v>
      </x:c>
      <x:c r="M69" s="82" t="str">
        <x:f>IF(ABS(L69)&lt;0.000001,"MATCH","CHECK")</x:f>
        <x:v>MATCH</x:v>
      </x:c>
      <x:c r="N69" s="78" t="str">
        <x:v>7.28.26 raw!G32</x:v>
      </x:c>
    </x:row>
    <x:row r="70" ht="18" customHeight="1">
      <x:c r="A70" s="78" t="str">
        <x:v>7.28.26</x:v>
      </x:c>
      <x:c r="B70" s="79" t="n">
        <x:v>40</x:v>
      </x:c>
      <x:c r="C70" s="78" t="str">
        <x:v>CS</x:v>
      </x:c>
      <x:c r="D70" s="78" t="str">
        <x:v>dMIC60-CS</x:v>
      </x:c>
      <x:c r="E70" s="79" t="n">
        <x:v>5</x:v>
      </x:c>
      <x:c r="F70" s="68" t="n">
        <x:v>0.250900000333786</x:v>
      </x:c>
      <x:c r="G70" s="69" t="n">
        <x:f>$T$4</x:f>
        <x:v>0.10319999853769939</x:v>
      </x:c>
      <x:c r="H70" s="69" t="n">
        <x:f>F70-G70</x:f>
        <x:v>0.1477000017960866</x:v>
      </x:c>
      <x:c r="I70" s="69" t="n">
        <x:f>AVERAGEIFS($H$12:$H$89,$A$12:$A$89,A70,$C$12:$C$89,C70,$B$12:$B$89,0)</x:f>
        <x:v>0.5807666679223379</x:v>
      </x:c>
      <x:c r="J70" s="69" t="n">
        <x:f>100*H70/I70</x:f>
        <x:v>25.431900615866194</x:v>
      </x:c>
      <x:c r="K70" s="80" t="n">
        <x:f>'Individual datapoints'!F63</x:f>
        <x:v>25.431900615866194</x:v>
      </x:c>
      <x:c r="L70" s="81" t="n">
        <x:f>J70-K70</x:f>
        <x:v>0</x:v>
      </x:c>
      <x:c r="M70" s="82" t="str">
        <x:f>IF(ABS(L70)&lt;0.000001,"MATCH","CHECK")</x:f>
        <x:v>MATCH</x:v>
      </x:c>
      <x:c r="N70" s="78" t="str">
        <x:v>7.28.26 raw!G33</x:v>
      </x:c>
    </x:row>
    <x:row r="71" ht="18" customHeight="1">
      <x:c r="A71" s="78" t="str">
        <x:v>7.28.26</x:v>
      </x:c>
      <x:c r="B71" s="79" t="n">
        <x:v>40</x:v>
      </x:c>
      <x:c r="C71" s="78" t="str">
        <x:v>CS</x:v>
      </x:c>
      <x:c r="D71" s="78" t="str">
        <x:v>dMIC60-CS</x:v>
      </x:c>
      <x:c r="E71" s="79" t="n">
        <x:v>6</x:v>
      </x:c>
      <x:c r="F71" s="68" t="n">
        <x:v>0.24619999527931213</x:v>
      </x:c>
      <x:c r="G71" s="69" t="n">
        <x:f>$T$4</x:f>
        <x:v>0.10319999853769939</x:v>
      </x:c>
      <x:c r="H71" s="69" t="n">
        <x:f>F71-G71</x:f>
        <x:v>0.14299999674161273</x:v>
      </x:c>
      <x:c r="I71" s="69" t="n">
        <x:f>AVERAGEIFS($H$12:$H$89,$A$12:$A$89,A71,$C$12:$C$89,C71,$B$12:$B$89,0)</x:f>
        <x:v>0.5807666679223379</x:v>
      </x:c>
      <x:c r="J71" s="69" t="n">
        <x:f>100*H71/I71</x:f>
        <x:v>24.62262465116803</x:v>
      </x:c>
      <x:c r="K71" s="80" t="n">
        <x:f>'Individual datapoints'!F64</x:f>
        <x:v>24.622624651168028</x:v>
      </x:c>
      <x:c r="L71" s="81" t="n">
        <x:f>J71-K71</x:f>
        <x:v>3.552713678800501e-15</x:v>
      </x:c>
      <x:c r="M71" s="82" t="str">
        <x:f>IF(ABS(L71)&lt;0.000001,"MATCH","CHECK")</x:f>
        <x:v>MATCH</x:v>
      </x:c>
      <x:c r="N71" s="78" t="str">
        <x:v>7.28.26 raw!G34</x:v>
      </x:c>
    </x:row>
    <x:row r="72" ht="18" customHeight="1">
      <x:c r="A72" s="78" t="str">
        <x:v>7.15.26</x:v>
      </x:c>
      <x:c r="B72" s="79" t="n">
        <x:v>0</x:v>
      </x:c>
      <x:c r="C72" s="78" t="str">
        <x:v>WT</x:v>
      </x:c>
      <x:c r="D72" s="78" t="str">
        <x:v>dMIC60-WT</x:v>
      </x:c>
      <x:c r="E72" s="79" t="n">
        <x:v>1</x:v>
      </x:c>
      <x:c r="F72" s="68" t="n">
        <x:v>0.6845999956130981</x:v>
      </x:c>
      <x:c r="G72" s="69" t="n">
        <x:f>$T$5</x:f>
        <x:v>0.12145000323653221</x:v>
      </x:c>
      <x:c r="H72" s="69" t="n">
        <x:f>F72-G72</x:f>
        <x:v>0.5631499923765659</x:v>
      </x:c>
      <x:c r="I72" s="69" t="n">
        <x:f>AVERAGEIFS($H$12:$H$89,$A$12:$A$89,A72,$C$12:$C$89,C72,$B$12:$B$89,0)</x:f>
        <x:v>0.5677500007053217</x:v>
      </x:c>
      <x:c r="J72" s="69" t="n">
        <x:f>100*H72/I72</x:f>
        <x:v>99.18978277005</x:v>
      </x:c>
      <x:c r="K72" s="80" t="n">
        <x:f>'Individual datapoints'!F65</x:f>
        <x:v>99.18978277005</x:v>
      </x:c>
      <x:c r="L72" s="81" t="n">
        <x:f>J72-K72</x:f>
        <x:v>0</x:v>
      </x:c>
      <x:c r="M72" s="82" t="str">
        <x:f>IF(ABS(L72)&lt;0.000001,"MATCH","CHECK")</x:f>
        <x:v>MATCH</x:v>
      </x:c>
      <x:c r="N72" s="78" t="str">
        <x:v>7.15.26 raw!D3</x:v>
      </x:c>
    </x:row>
    <x:row r="73" ht="18" customHeight="1">
      <x:c r="A73" s="78" t="str">
        <x:v>7.15.26</x:v>
      </x:c>
      <x:c r="B73" s="79" t="n">
        <x:v>0</x:v>
      </x:c>
      <x:c r="C73" s="78" t="str">
        <x:v>WT</x:v>
      </x:c>
      <x:c r="D73" s="78" t="str">
        <x:v>dMIC60-WT</x:v>
      </x:c>
      <x:c r="E73" s="79" t="n">
        <x:v>2</x:v>
      </x:c>
      <x:c r="F73" s="68" t="n">
        <x:v>0.6780999898910522</x:v>
      </x:c>
      <x:c r="G73" s="69" t="n">
        <x:f>$T$5</x:f>
        <x:v>0.12145000323653221</x:v>
      </x:c>
      <x:c r="H73" s="69" t="n">
        <x:f>F73-G73</x:f>
        <x:v>0.55664998665452</x:v>
      </x:c>
      <x:c r="I73" s="69" t="n">
        <x:f>AVERAGEIFS($H$12:$H$89,$A$12:$A$89,A73,$C$12:$C$89,C73,$B$12:$B$89,0)</x:f>
        <x:v>0.5677500007053217</x:v>
      </x:c>
      <x:c r="J73" s="69" t="n">
        <x:f>100*H73/I73</x:f>
        <x:v>98.04491166234928</x:v>
      </x:c>
      <x:c r="K73" s="80" t="n">
        <x:f>'Individual datapoints'!F66</x:f>
        <x:v>98.04491166234928</x:v>
      </x:c>
      <x:c r="L73" s="81" t="n">
        <x:f>J73-K73</x:f>
        <x:v>0</x:v>
      </x:c>
      <x:c r="M73" s="82" t="str">
        <x:f>IF(ABS(L73)&lt;0.000001,"MATCH","CHECK")</x:f>
        <x:v>MATCH</x:v>
      </x:c>
      <x:c r="N73" s="78" t="str">
        <x:v>7.15.26 raw!D4</x:v>
      </x:c>
    </x:row>
    <x:row r="74" ht="18" customHeight="1">
      <x:c r="A74" s="78" t="str">
        <x:v>7.15.26</x:v>
      </x:c>
      <x:c r="B74" s="79" t="n">
        <x:v>0</x:v>
      </x:c>
      <x:c r="C74" s="78" t="str">
        <x:v>WT</x:v>
      </x:c>
      <x:c r="D74" s="78" t="str">
        <x:v>dMIC60-WT</x:v>
      </x:c>
      <x:c r="E74" s="79" t="n">
        <x:v>3</x:v>
      </x:c>
      <x:c r="F74" s="68" t="n">
        <x:v>0.7049000263214111</x:v>
      </x:c>
      <x:c r="G74" s="69" t="n">
        <x:f>$T$5</x:f>
        <x:v>0.12145000323653221</x:v>
      </x:c>
      <x:c r="H74" s="69" t="n">
        <x:f>F74-G74</x:f>
        <x:v>0.5834500230848789</x:v>
      </x:c>
      <x:c r="I74" s="69" t="n">
        <x:f>AVERAGEIFS($H$12:$H$89,$A$12:$A$89,A74,$C$12:$C$89,C74,$B$12:$B$89,0)</x:f>
        <x:v>0.5677500007053217</x:v>
      </x:c>
      <x:c r="J74" s="69" t="n">
        <x:f>100*H74/I74</x:f>
        <x:v>102.76530556760069</x:v>
      </x:c>
      <x:c r="K74" s="80" t="n">
        <x:f>'Individual datapoints'!F67</x:f>
        <x:v>102.7653055676007</x:v>
      </x:c>
      <x:c r="L74" s="81" t="n">
        <x:f>J74-K74</x:f>
        <x:v>-1.4210854715202004e-14</x:v>
      </x:c>
      <x:c r="M74" s="82" t="str">
        <x:f>IF(ABS(L74)&lt;0.000001,"MATCH","CHECK")</x:f>
        <x:v>MATCH</x:v>
      </x:c>
      <x:c r="N74" s="78" t="str">
        <x:v>7.15.26 raw!D5</x:v>
      </x:c>
    </x:row>
    <x:row r="75" ht="18" customHeight="1">
      <x:c r="A75" s="78" t="str">
        <x:v>7.15.26</x:v>
      </x:c>
      <x:c r="B75" s="79" t="n">
        <x:v>0</x:v>
      </x:c>
      <x:c r="C75" s="78" t="str">
        <x:v>CS</x:v>
      </x:c>
      <x:c r="D75" s="78" t="str">
        <x:v>dMIC60-CS</x:v>
      </x:c>
      <x:c r="E75" s="79" t="n">
        <x:v>1</x:v>
      </x:c>
      <x:c r="F75" s="68" t="n">
        <x:v>0.40860000252723694</x:v>
      </x:c>
      <x:c r="G75" s="69" t="n">
        <x:f>$T$5</x:f>
        <x:v>0.12145000323653221</x:v>
      </x:c>
      <x:c r="H75" s="69" t="n">
        <x:f>F75-G75</x:f>
        <x:v>0.2871499992907047</x:v>
      </x:c>
      <x:c r="I75" s="69" t="n">
        <x:f>AVERAGEIFS($H$12:$H$89,$A$12:$A$89,A75,$C$12:$C$89,C75,$B$12:$B$89,0)</x:f>
        <x:v>0.3725166656076908</x:v>
      </x:c>
      <x:c r="J75" s="69" t="n">
        <x:f>100*H75/I75</x:f>
        <x:v>77.08379941130246</x:v>
      </x:c>
      <x:c r="K75" s="80" t="n">
        <x:f>'Individual datapoints'!F68</x:f>
        <x:v>77.08379941130245</x:v>
      </x:c>
      <x:c r="L75" s="81" t="n">
        <x:f>J75-K75</x:f>
        <x:v>1.4210854715202004e-14</x:v>
      </x:c>
      <x:c r="M75" s="82" t="str">
        <x:f>IF(ABS(L75)&lt;0.000001,"MATCH","CHECK")</x:f>
        <x:v>MATCH</x:v>
      </x:c>
      <x:c r="N75" s="78" t="str">
        <x:v>7.15.26 raw!E3</x:v>
      </x:c>
    </x:row>
    <x:row r="76" ht="18" customHeight="1">
      <x:c r="A76" s="78" t="str">
        <x:v>7.15.26</x:v>
      </x:c>
      <x:c r="B76" s="79" t="n">
        <x:v>0</x:v>
      </x:c>
      <x:c r="C76" s="78" t="str">
        <x:v>CS</x:v>
      </x:c>
      <x:c r="D76" s="78" t="str">
        <x:v>dMIC60-CS</x:v>
      </x:c>
      <x:c r="E76" s="79" t="n">
        <x:v>2</x:v>
      </x:c>
      <x:c r="F76" s="68" t="n">
        <x:v>0.5684000253677368</x:v>
      </x:c>
      <x:c r="G76" s="69" t="n">
        <x:f>$T$5</x:f>
        <x:v>0.12145000323653221</x:v>
      </x:c>
      <x:c r="H76" s="69" t="n">
        <x:f>F76-G76</x:f>
        <x:v>0.4469500221312046</x:v>
      </x:c>
      <x:c r="I76" s="69" t="n">
        <x:f>AVERAGEIFS($H$12:$H$89,$A$12:$A$89,A76,$C$12:$C$89,C76,$B$12:$B$89,0)</x:f>
        <x:v>0.3725166656076908</x:v>
      </x:c>
      <x:c r="J76" s="69" t="n">
        <x:f>100*H76/I76</x:f>
        <x:v>119.9812151765317</x:v>
      </x:c>
      <x:c r="K76" s="80" t="n">
        <x:f>'Individual datapoints'!F69</x:f>
        <x:v>119.9812151765317</x:v>
      </x:c>
      <x:c r="L76" s="81" t="n">
        <x:f>J76-K76</x:f>
        <x:v>0</x:v>
      </x:c>
      <x:c r="M76" s="82" t="str">
        <x:f>IF(ABS(L76)&lt;0.000001,"MATCH","CHECK")</x:f>
        <x:v>MATCH</x:v>
      </x:c>
      <x:c r="N76" s="78" t="str">
        <x:v>7.15.26 raw!E4</x:v>
      </x:c>
    </x:row>
    <x:row r="77" ht="18" customHeight="1">
      <x:c r="A77" s="78" t="str">
        <x:v>7.15.26</x:v>
      </x:c>
      <x:c r="B77" s="79" t="n">
        <x:v>0</x:v>
      </x:c>
      <x:c r="C77" s="78" t="str">
        <x:v>CS</x:v>
      </x:c>
      <x:c r="D77" s="78" t="str">
        <x:v>dMIC60-CS</x:v>
      </x:c>
      <x:c r="E77" s="79" t="n">
        <x:v>3</x:v>
      </x:c>
      <x:c r="F77" s="68" t="n">
        <x:v>0.5048999786376953</x:v>
      </x:c>
      <x:c r="G77" s="69" t="n">
        <x:f>$T$5</x:f>
        <x:v>0.12145000323653221</x:v>
      </x:c>
      <x:c r="H77" s="69" t="n">
        <x:f>F77-G77</x:f>
        <x:v>0.3834499754011631</x:v>
      </x:c>
      <x:c r="I77" s="69" t="n">
        <x:f>AVERAGEIFS($H$12:$H$89,$A$12:$A$89,A77,$C$12:$C$89,C77,$B$12:$B$89,0)</x:f>
        <x:v>0.3725166656076908</x:v>
      </x:c>
      <x:c r="J77" s="69" t="n">
        <x:f>100*H77/I77</x:f>
        <x:v>102.93498541216583</x:v>
      </x:c>
      <x:c r="K77" s="80" t="n">
        <x:f>'Individual datapoints'!F70</x:f>
        <x:v>102.93498541216583</x:v>
      </x:c>
      <x:c r="L77" s="81" t="n">
        <x:f>J77-K77</x:f>
        <x:v>0</x:v>
      </x:c>
      <x:c r="M77" s="82" t="str">
        <x:f>IF(ABS(L77)&lt;0.000001,"MATCH","CHECK")</x:f>
        <x:v>MATCH</x:v>
      </x:c>
      <x:c r="N77" s="78" t="str">
        <x:v>7.15.26 raw!E5</x:v>
      </x:c>
    </x:row>
    <x:row r="78" ht="18" customHeight="1">
      <x:c r="A78" s="78" t="str">
        <x:v>7.15.26</x:v>
      </x:c>
      <x:c r="B78" s="79" t="n">
        <x:v>20</x:v>
      </x:c>
      <x:c r="C78" s="78" t="str">
        <x:v>WT</x:v>
      </x:c>
      <x:c r="D78" s="78" t="str">
        <x:v>dMIC60-WT</x:v>
      </x:c>
      <x:c r="E78" s="79" t="n">
        <x:v>1</x:v>
      </x:c>
      <x:c r="F78" s="68" t="n">
        <x:v>0.2529999911785126</x:v>
      </x:c>
      <x:c r="G78" s="69" t="n">
        <x:f>$T$5</x:f>
        <x:v>0.12145000323653221</x:v>
      </x:c>
      <x:c r="H78" s="69" t="n">
        <x:f>F78-G78</x:f>
        <x:v>0.13154998794198036</x:v>
      </x:c>
      <x:c r="I78" s="69" t="n">
        <x:f>AVERAGEIFS($H$12:$H$89,$A$12:$A$89,A78,$C$12:$C$89,C78,$B$12:$B$89,0)</x:f>
        <x:v>0.5677500007053217</x:v>
      </x:c>
      <x:c r="J78" s="69" t="n">
        <x:f>100*H78/I78</x:f>
        <x:v>23.170407358618135</x:v>
      </x:c>
      <x:c r="K78" s="80" t="n">
        <x:f>'Individual datapoints'!F71</x:f>
        <x:v>23.170407358618135</x:v>
      </x:c>
      <x:c r="L78" s="81" t="n">
        <x:f>J78-K78</x:f>
        <x:v>0</x:v>
      </x:c>
      <x:c r="M78" s="82" t="str">
        <x:f>IF(ABS(L78)&lt;0.000001,"MATCH","CHECK")</x:f>
        <x:v>MATCH</x:v>
      </x:c>
      <x:c r="N78" s="78" t="str">
        <x:v>7.15.26 raw!F3</x:v>
      </x:c>
    </x:row>
    <x:row r="79" ht="18" customHeight="1">
      <x:c r="A79" s="78" t="str">
        <x:v>7.15.26</x:v>
      </x:c>
      <x:c r="B79" s="79" t="n">
        <x:v>20</x:v>
      </x:c>
      <x:c r="C79" s="78" t="str">
        <x:v>WT</x:v>
      </x:c>
      <x:c r="D79" s="78" t="str">
        <x:v>dMIC60-WT</x:v>
      </x:c>
      <x:c r="E79" s="79" t="n">
        <x:v>2</x:v>
      </x:c>
      <x:c r="F79" s="68" t="n">
        <x:v>0.2529999911785126</x:v>
      </x:c>
      <x:c r="G79" s="69" t="n">
        <x:f>$T$5</x:f>
        <x:v>0.12145000323653221</x:v>
      </x:c>
      <x:c r="H79" s="69" t="n">
        <x:f>F79-G79</x:f>
        <x:v>0.13154998794198036</x:v>
      </x:c>
      <x:c r="I79" s="69" t="n">
        <x:f>AVERAGEIFS($H$12:$H$89,$A$12:$A$89,A79,$C$12:$C$89,C79,$B$12:$B$89,0)</x:f>
        <x:v>0.5677500007053217</x:v>
      </x:c>
      <x:c r="J79" s="69" t="n">
        <x:f>100*H79/I79</x:f>
        <x:v>23.170407358618135</x:v>
      </x:c>
      <x:c r="K79" s="80" t="n">
        <x:f>'Individual datapoints'!F72</x:f>
        <x:v>23.170407358618135</x:v>
      </x:c>
      <x:c r="L79" s="81" t="n">
        <x:f>J79-K79</x:f>
        <x:v>0</x:v>
      </x:c>
      <x:c r="M79" s="82" t="str">
        <x:f>IF(ABS(L79)&lt;0.000001,"MATCH","CHECK")</x:f>
        <x:v>MATCH</x:v>
      </x:c>
      <x:c r="N79" s="78" t="str">
        <x:v>7.15.26 raw!F4</x:v>
      </x:c>
    </x:row>
    <x:row r="80" ht="18" customHeight="1">
      <x:c r="A80" s="78" t="str">
        <x:v>7.15.26</x:v>
      </x:c>
      <x:c r="B80" s="79" t="n">
        <x:v>20</x:v>
      </x:c>
      <x:c r="C80" s="78" t="str">
        <x:v>WT</x:v>
      </x:c>
      <x:c r="D80" s="78" t="str">
        <x:v>dMIC60-WT</x:v>
      </x:c>
      <x:c r="E80" s="79" t="n">
        <x:v>3</x:v>
      </x:c>
      <x:c r="F80" s="68" t="n">
        <x:v>0.27959999442100525</x:v>
      </x:c>
      <x:c r="G80" s="69" t="n">
        <x:f>$T$5</x:f>
        <x:v>0.12145000323653221</x:v>
      </x:c>
      <x:c r="H80" s="69" t="n">
        <x:f>F80-G80</x:f>
        <x:v>0.15814999118447304</x:v>
      </x:c>
      <x:c r="I80" s="69" t="n">
        <x:f>AVERAGEIFS($H$12:$H$89,$A$12:$A$89,A80,$C$12:$C$89,C80,$B$12:$B$89,0)</x:f>
        <x:v>0.5677500007053217</x:v>
      </x:c>
      <x:c r="J80" s="69" t="n">
        <x:f>100*H80/I80</x:f>
        <x:v>27.8555686460593</x:v>
      </x:c>
      <x:c r="K80" s="80" t="n">
        <x:f>'Individual datapoints'!F73</x:f>
        <x:v>27.855568646059297</x:v>
      </x:c>
      <x:c r="L80" s="81" t="n">
        <x:f>J80-K80</x:f>
        <x:v>3.552713678800501e-15</x:v>
      </x:c>
      <x:c r="M80" s="82" t="str">
        <x:f>IF(ABS(L80)&lt;0.000001,"MATCH","CHECK")</x:f>
        <x:v>MATCH</x:v>
      </x:c>
      <x:c r="N80" s="78" t="str">
        <x:v>7.15.26 raw!F5</x:v>
      </x:c>
    </x:row>
    <x:row r="81" ht="18" customHeight="1">
      <x:c r="A81" s="78" t="str">
        <x:v>7.15.26</x:v>
      </x:c>
      <x:c r="B81" s="79" t="n">
        <x:v>20</x:v>
      </x:c>
      <x:c r="C81" s="78" t="str">
        <x:v>CS</x:v>
      </x:c>
      <x:c r="D81" s="78" t="str">
        <x:v>dMIC60-CS</x:v>
      </x:c>
      <x:c r="E81" s="79" t="n">
        <x:v>1</x:v>
      </x:c>
      <x:c r="F81" s="68" t="n">
        <x:v>0.25360000133514404</x:v>
      </x:c>
      <x:c r="G81" s="69" t="n">
        <x:f>$T$5</x:f>
        <x:v>0.12145000323653221</x:v>
      </x:c>
      <x:c r="H81" s="69" t="n">
        <x:f>F81-G81</x:f>
        <x:v>0.13214999809861183</x:v>
      </x:c>
      <x:c r="I81" s="69" t="n">
        <x:f>AVERAGEIFS($H$12:$H$89,$A$12:$A$89,A81,$C$12:$C$89,C81,$B$12:$B$89,0)</x:f>
        <x:v>0.3725166656076908</x:v>
      </x:c>
      <x:c r="J81" s="69" t="n">
        <x:f>100*H81/I81</x:f>
        <x:v>35.47492241267488</x:v>
      </x:c>
      <x:c r="K81" s="80" t="n">
        <x:f>'Individual datapoints'!F74</x:f>
        <x:v>35.47492241267488</x:v>
      </x:c>
      <x:c r="L81" s="81" t="n">
        <x:f>J81-K81</x:f>
        <x:v>0</x:v>
      </x:c>
      <x:c r="M81" s="82" t="str">
        <x:f>IF(ABS(L81)&lt;0.000001,"MATCH","CHECK")</x:f>
        <x:v>MATCH</x:v>
      </x:c>
      <x:c r="N81" s="78" t="str">
        <x:v>7.15.26 raw!G3</x:v>
      </x:c>
    </x:row>
    <x:row r="82" ht="18" customHeight="1">
      <x:c r="A82" s="78" t="str">
        <x:v>7.15.26</x:v>
      </x:c>
      <x:c r="B82" s="79" t="n">
        <x:v>20</x:v>
      </x:c>
      <x:c r="C82" s="78" t="str">
        <x:v>CS</x:v>
      </x:c>
      <x:c r="D82" s="78" t="str">
        <x:v>dMIC60-CS</x:v>
      </x:c>
      <x:c r="E82" s="79" t="n">
        <x:v>2</x:v>
      </x:c>
      <x:c r="F82" s="68" t="n">
        <x:v>0.3001999855041504</x:v>
      </x:c>
      <x:c r="G82" s="69" t="n">
        <x:f>$T$5</x:f>
        <x:v>0.12145000323653221</x:v>
      </x:c>
      <x:c r="H82" s="69" t="n">
        <x:f>F82-G82</x:f>
        <x:v>0.17874998226761818</x:v>
      </x:c>
      <x:c r="I82" s="69" t="n">
        <x:f>AVERAGEIFS($H$12:$H$89,$A$12:$A$89,A82,$C$12:$C$89,C82,$B$12:$B$89,0)</x:f>
        <x:v>0.3725166656076908</x:v>
      </x:c>
      <x:c r="J82" s="69" t="n">
        <x:f>100*H82/I82</x:f>
        <x:v>47.98442560308577</x:v>
      </x:c>
      <x:c r="K82" s="80" t="n">
        <x:f>'Individual datapoints'!F75</x:f>
        <x:v>47.98442560308577</x:v>
      </x:c>
      <x:c r="L82" s="81" t="n">
        <x:f>J82-K82</x:f>
        <x:v>0</x:v>
      </x:c>
      <x:c r="M82" s="82" t="str">
        <x:f>IF(ABS(L82)&lt;0.000001,"MATCH","CHECK")</x:f>
        <x:v>MATCH</x:v>
      </x:c>
      <x:c r="N82" s="78" t="str">
        <x:v>7.15.26 raw!G4</x:v>
      </x:c>
    </x:row>
    <x:row r="83" ht="18" customHeight="1">
      <x:c r="A83" s="78" t="str">
        <x:v>7.15.26</x:v>
      </x:c>
      <x:c r="B83" s="79" t="n">
        <x:v>20</x:v>
      </x:c>
      <x:c r="C83" s="78" t="str">
        <x:v>CS</x:v>
      </x:c>
      <x:c r="D83" s="78" t="str">
        <x:v>dMIC60-CS</x:v>
      </x:c>
      <x:c r="E83" s="79" t="n">
        <x:v>3</x:v>
      </x:c>
      <x:c r="F83" s="68" t="n">
        <x:v>0.28999999165534973</x:v>
      </x:c>
      <x:c r="G83" s="69" t="n">
        <x:f>$T$5</x:f>
        <x:v>0.12145000323653221</x:v>
      </x:c>
      <x:c r="H83" s="69" t="n">
        <x:f>F83-G83</x:f>
        <x:v>0.16854998841881752</x:v>
      </x:c>
      <x:c r="I83" s="69" t="n">
        <x:f>AVERAGEIFS($H$12:$H$89,$A$12:$A$89,A83,$C$12:$C$89,C83,$B$12:$B$89,0)</x:f>
        <x:v>0.3725166656076908</x:v>
      </x:c>
      <x:c r="J83" s="69" t="n">
        <x:f>100*H83/I83</x:f>
        <x:v>45.24629472452191</x:v>
      </x:c>
      <x:c r="K83" s="80" t="n">
        <x:f>'Individual datapoints'!F76</x:f>
        <x:v>45.24629472452191</x:v>
      </x:c>
      <x:c r="L83" s="81" t="n">
        <x:f>J83-K83</x:f>
        <x:v>0</x:v>
      </x:c>
      <x:c r="M83" s="82" t="str">
        <x:f>IF(ABS(L83)&lt;0.000001,"MATCH","CHECK")</x:f>
        <x:v>MATCH</x:v>
      </x:c>
      <x:c r="N83" s="78" t="str">
        <x:v>7.15.26 raw!G5</x:v>
      </x:c>
    </x:row>
    <x:row r="84" ht="18" customHeight="1">
      <x:c r="A84" s="78" t="str">
        <x:v>7.15.26</x:v>
      </x:c>
      <x:c r="B84" s="79" t="n">
        <x:v>40</x:v>
      </x:c>
      <x:c r="C84" s="78" t="str">
        <x:v>WT</x:v>
      </x:c>
      <x:c r="D84" s="78" t="str">
        <x:v>dMIC60-WT</x:v>
      </x:c>
      <x:c r="E84" s="79" t="n">
        <x:v>1</x:v>
      </x:c>
      <x:c r="F84" s="68" t="n">
        <x:v>0.15950000286102295</x:v>
      </x:c>
      <x:c r="G84" s="69" t="n">
        <x:f>$T$5</x:f>
        <x:v>0.12145000323653221</x:v>
      </x:c>
      <x:c r="H84" s="69" t="n">
        <x:f>F84-G84</x:f>
        <x:v>0.03804999962449074</x:v>
      </x:c>
      <x:c r="I84" s="69" t="n">
        <x:f>AVERAGEIFS($H$12:$H$89,$A$12:$A$89,A84,$C$12:$C$89,C84,$B$12:$B$89,0)</x:f>
        <x:v>0.5677500007053217</x:v>
      </x:c>
      <x:c r="J84" s="69" t="n">
        <x:f>100*H84/I84</x:f>
        <x:v>6.701893364547923</x:v>
      </x:c>
      <x:c r="K84" s="80" t="n">
        <x:f>'Individual datapoints'!F77</x:f>
        <x:v>6.701893364547923</x:v>
      </x:c>
      <x:c r="L84" s="81" t="n">
        <x:f>J84-K84</x:f>
        <x:v>0</x:v>
      </x:c>
      <x:c r="M84" s="82" t="str">
        <x:f>IF(ABS(L84)&lt;0.000001,"MATCH","CHECK")</x:f>
        <x:v>MATCH</x:v>
      </x:c>
      <x:c r="N84" s="78" t="str">
        <x:v>7.15.26 raw!H3</x:v>
      </x:c>
    </x:row>
    <x:row r="85" ht="18" customHeight="1">
      <x:c r="A85" s="78" t="str">
        <x:v>7.15.26</x:v>
      </x:c>
      <x:c r="B85" s="79" t="n">
        <x:v>40</x:v>
      </x:c>
      <x:c r="C85" s="78" t="str">
        <x:v>WT</x:v>
      </x:c>
      <x:c r="D85" s="78" t="str">
        <x:v>dMIC60-WT</x:v>
      </x:c>
      <x:c r="E85" s="79" t="n">
        <x:v>2</x:v>
      </x:c>
      <x:c r="F85" s="68" t="n">
        <x:v>0.17059999704360962</x:v>
      </x:c>
      <x:c r="G85" s="69" t="n">
        <x:f>$T$5</x:f>
        <x:v>0.12145000323653221</x:v>
      </x:c>
      <x:c r="H85" s="69" t="n">
        <x:f>F85-G85</x:f>
        <x:v>0.04914999380707741</x:v>
      </x:c>
      <x:c r="I85" s="69" t="n">
        <x:f>AVERAGEIFS($H$12:$H$89,$A$12:$A$89,A85,$C$12:$C$89,C85,$B$12:$B$89,0)</x:f>
        <x:v>0.5677500007053217</x:v>
      </x:c>
      <x:c r="J85" s="69" t="n">
        <x:f>100*H85/I85</x:f>
        <x:v>8.656978202733221</x:v>
      </x:c>
      <x:c r="K85" s="80" t="n">
        <x:f>'Individual datapoints'!F78</x:f>
        <x:v>8.656978202733221</x:v>
      </x:c>
      <x:c r="L85" s="81" t="n">
        <x:f>J85-K85</x:f>
        <x:v>0</x:v>
      </x:c>
      <x:c r="M85" s="82" t="str">
        <x:f>IF(ABS(L85)&lt;0.000001,"MATCH","CHECK")</x:f>
        <x:v>MATCH</x:v>
      </x:c>
      <x:c r="N85" s="78" t="str">
        <x:v>7.15.26 raw!H4</x:v>
      </x:c>
    </x:row>
    <x:row r="86" ht="18" customHeight="1">
      <x:c r="A86" s="78" t="str">
        <x:v>7.15.26</x:v>
      </x:c>
      <x:c r="B86" s="79" t="n">
        <x:v>40</x:v>
      </x:c>
      <x:c r="C86" s="78" t="str">
        <x:v>WT</x:v>
      </x:c>
      <x:c r="D86" s="78" t="str">
        <x:v>dMIC60-WT</x:v>
      </x:c>
      <x:c r="E86" s="79" t="n">
        <x:v>3</x:v>
      </x:c>
      <x:c r="F86" s="68" t="n">
        <x:v>0.17800000309944153</x:v>
      </x:c>
      <x:c r="G86" s="69" t="n">
        <x:f>$T$5</x:f>
        <x:v>0.12145000323653221</x:v>
      </x:c>
      <x:c r="H86" s="69" t="n">
        <x:f>F86-G86</x:f>
        <x:v>0.05654999986290932</x:v>
      </x:c>
      <x:c r="I86" s="69" t="n">
        <x:f>AVERAGEIFS($H$12:$H$89,$A$12:$A$89,A86,$C$12:$C$89,C86,$B$12:$B$89,0)</x:f>
        <x:v>0.5677500007053217</x:v>
      </x:c>
      <x:c r="J86" s="69" t="n">
        <x:f>100*H86/I86</x:f>
        <x:v>9.960369844589462</x:v>
      </x:c>
      <x:c r="K86" s="80" t="n">
        <x:f>'Individual datapoints'!F79</x:f>
        <x:v>9.960369844589462</x:v>
      </x:c>
      <x:c r="L86" s="81" t="n">
        <x:f>J86-K86</x:f>
        <x:v>0</x:v>
      </x:c>
      <x:c r="M86" s="82" t="str">
        <x:f>IF(ABS(L86)&lt;0.000001,"MATCH","CHECK")</x:f>
        <x:v>MATCH</x:v>
      </x:c>
      <x:c r="N86" s="78" t="str">
        <x:v>7.15.26 raw!H5</x:v>
      </x:c>
    </x:row>
    <x:row r="87" ht="18" customHeight="1">
      <x:c r="A87" s="78" t="str">
        <x:v>7.15.26</x:v>
      </x:c>
      <x:c r="B87" s="79" t="n">
        <x:v>40</x:v>
      </x:c>
      <x:c r="C87" s="78" t="str">
        <x:v>CS</x:v>
      </x:c>
      <x:c r="D87" s="78" t="str">
        <x:v>dMIC60-CS</x:v>
      </x:c>
      <x:c r="E87" s="79" t="n">
        <x:v>1</x:v>
      </x:c>
      <x:c r="F87" s="68" t="n">
        <x:v>0.17739999294281006</x:v>
      </x:c>
      <x:c r="G87" s="69" t="n">
        <x:f>$T$5</x:f>
        <x:v>0.12145000323653221</x:v>
      </x:c>
      <x:c r="H87" s="69" t="n">
        <x:f>F87-G87</x:f>
        <x:v>0.05594998970627785</x:v>
      </x:c>
      <x:c r="I87" s="69" t="n">
        <x:f>AVERAGEIFS($H$12:$H$89,$A$12:$A$89,A87,$C$12:$C$89,C87,$B$12:$B$89,0)</x:f>
        <x:v>0.3725166656076908</x:v>
      </x:c>
      <x:c r="J87" s="69" t="n">
        <x:f>100*H87/I87</x:f>
        <x:v>15.019459495860668</x:v>
      </x:c>
      <x:c r="K87" s="80" t="n">
        <x:f>'Individual datapoints'!F80</x:f>
        <x:v>15.019459495860668</x:v>
      </x:c>
      <x:c r="L87" s="81" t="n">
        <x:f>J87-K87</x:f>
        <x:v>0</x:v>
      </x:c>
      <x:c r="M87" s="82" t="str">
        <x:f>IF(ABS(L87)&lt;0.000001,"MATCH","CHECK")</x:f>
        <x:v>MATCH</x:v>
      </x:c>
      <x:c r="N87" s="78" t="str">
        <x:v>7.15.26 raw!I3</x:v>
      </x:c>
    </x:row>
    <x:row r="88" ht="18" customHeight="1">
      <x:c r="A88" s="78" t="str">
        <x:v>7.15.26</x:v>
      </x:c>
      <x:c r="B88" s="79" t="n">
        <x:v>40</x:v>
      </x:c>
      <x:c r="C88" s="78" t="str">
        <x:v>CS</x:v>
      </x:c>
      <x:c r="D88" s="78" t="str">
        <x:v>dMIC60-CS</x:v>
      </x:c>
      <x:c r="E88" s="79" t="n">
        <x:v>2</x:v>
      </x:c>
      <x:c r="F88" s="68" t="n">
        <x:v>0.17470000684261322</x:v>
      </x:c>
      <x:c r="G88" s="69" t="n">
        <x:f>$T$5</x:f>
        <x:v>0.12145000323653221</x:v>
      </x:c>
      <x:c r="H88" s="69" t="n">
        <x:f>F88-G88</x:f>
        <x:v>0.05325000360608101</x:v>
      </x:c>
      <x:c r="I88" s="69" t="n">
        <x:f>AVERAGEIFS($H$12:$H$89,$A$12:$A$89,A88,$C$12:$C$89,C88,$B$12:$B$89,0)</x:f>
        <x:v>0.3725166656076908</x:v>
      </x:c>
      <x:c r="J88" s="69" t="n">
        <x:f>100*H88/I88</x:f>
        <x:v>14.294663439879569</x:v>
      </x:c>
      <x:c r="K88" s="80" t="n">
        <x:f>'Individual datapoints'!F81</x:f>
        <x:v>14.29466343987957</x:v>
      </x:c>
      <x:c r="L88" s="81" t="n">
        <x:f>J88-K88</x:f>
        <x:v>-1.7763568394002505e-15</x:v>
      </x:c>
      <x:c r="M88" s="82" t="str">
        <x:f>IF(ABS(L88)&lt;0.000001,"MATCH","CHECK")</x:f>
        <x:v>MATCH</x:v>
      </x:c>
      <x:c r="N88" s="78" t="str">
        <x:v>7.15.26 raw!I4</x:v>
      </x:c>
    </x:row>
    <x:row r="89" ht="18" customHeight="1">
      <x:c r="A89" s="30" t="str">
        <x:v>7.15.26</x:v>
      </x:c>
      <x:c r="B89" s="31" t="n">
        <x:v>40</x:v>
      </x:c>
      <x:c r="C89" s="30" t="str">
        <x:v>CS</x:v>
      </x:c>
      <x:c r="D89" s="30" t="str">
        <x:v>dMIC60-CS</x:v>
      </x:c>
      <x:c r="E89" s="31" t="n">
        <x:v>3</x:v>
      </x:c>
      <x:c r="F89" s="83" t="n">
        <x:v>0.1624000072479248</x:v>
      </x:c>
      <x:c r="G89" s="84" t="n">
        <x:f>$T$5</x:f>
        <x:v>0.12145000323653221</x:v>
      </x:c>
      <x:c r="H89" s="84" t="n">
        <x:f>F89-G89</x:f>
        <x:v>0.04095000401139259</x:v>
      </x:c>
      <x:c r="I89" s="84" t="n">
        <x:f>AVERAGEIFS($H$12:$H$89,$A$12:$A$89,A89,$C$12:$C$89,C89,$B$12:$B$89,0)</x:f>
        <x:v>0.3725166656076908</x:v>
      </x:c>
      <x:c r="J89" s="84" t="n">
        <x:f>100*H89/I89</x:f>
        <x:v>10.992797850960674</x:v>
      </x:c>
      <x:c r="K89" s="85" t="n">
        <x:f>'Individual datapoints'!F82</x:f>
        <x:v>10.992797850960672</x:v>
      </x:c>
      <x:c r="L89" s="86" t="n">
        <x:f>J89-K89</x:f>
        <x:v>1.7763568394002505e-15</x:v>
      </x:c>
      <x:c r="M89" s="87" t="str">
        <x:f>IF(ABS(L89)&lt;0.000001,"MATCH","CHECK")</x:f>
        <x:v>MATCH</x:v>
      </x:c>
      <x:c r="N89" s="30" t="str">
        <x:v>7.15.26 raw!I5</x:v>
      </x:c>
    </x:row>
  </x:sheetData>
  <x:mergeCells>
    <x:mergeCell ref="A1:T1"/>
    <x:mergeCell ref="A2:T2"/>
    <x:mergeCell ref="A4:C4"/>
    <x:mergeCell ref="D4:N4"/>
    <x:mergeCell ref="A5:C5"/>
    <x:mergeCell ref="D5:N5"/>
    <x:mergeCell ref="A6:C6"/>
    <x:mergeCell ref="D6:N6"/>
    <x:mergeCell ref="A7:C7"/>
    <x:mergeCell ref="D7:N7"/>
    <x:mergeCell ref="A8:C8"/>
    <x:mergeCell ref="D8:N8"/>
  </x:mergeCells>
  <x:conditionalFormatting sqref="D12:D89">
    <x:cfRule type="expression" dxfId="7" priority="1">
      <x:formula>D12="dMIC60-WT"</x:formula>
    </x:cfRule>
    <x:cfRule type="expression" dxfId="8" priority="2">
      <x:formula>D12="dMIC60-CS"</x:formula>
    </x:cfRule>
  </x:conditionalFormatting>
  <x:conditionalFormatting sqref="M12:M89">
    <x:cfRule type="expression" dxfId="9" priority="3">
      <x:formula>M12="CHECK"</x:formula>
    </x:cfRule>
    <x:cfRule type="expression" dxfId="10" priority="4">
      <x:formula>M12="MATCH"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48525b5b1e4195"/>
  </x:tableParts>
</x:worksheet>
</file>